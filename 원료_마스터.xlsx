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읽어보기" sheetId="1" state="visible" r:id="rId1"/>
    <sheet name="진도판" sheetId="2" state="visible" r:id="rId2"/>
    <sheet name="원료 카드" sheetId="3" state="visible" r:id="rId3"/>
    <sheet name="비교 매트릭스" sheetId="4" state="visible" r:id="rId4"/>
    <sheet name="제형 설계" sheetId="5" state="visible" r:id="rId5"/>
    <sheet name="감촉 레버" sheetId="6" state="visible" r:id="rId6"/>
    <sheet name="블렌드 해부" sheetId="7" state="visible" r:id="rId7"/>
    <sheet name="다음 공부" sheetId="8" state="visible" r:id="rId8"/>
  </sheets>
  <definedNames>
    <definedName name="_xlnm._FilterDatabase" localSheetId="2" hidden="1">'원료 카드'!$A$4:$AG$251</definedName>
    <definedName name="_xlnm._FilterDatabase" localSheetId="6" hidden="1">'블렌드 해부'!$A$4:$I$30</definedName>
    <definedName name="_xlnm._FilterDatabase" localSheetId="7" hidden="1">'다음 공부'!$A$4:$G$41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맑은 고딕"/>
      <b val="1"/>
      <color rgb="FFFFFFFF"/>
      <sz val="14"/>
    </font>
    <font>
      <name val="맑은 고딕"/>
      <color rgb="FF404040"/>
      <sz val="9"/>
    </font>
    <font>
      <name val="맑은 고딕"/>
      <b val="1"/>
      <color rgb="FF1F3864"/>
      <sz val="11"/>
    </font>
    <font>
      <name val="맑은 고딕"/>
      <color rgb="FF000000"/>
      <sz val="10"/>
    </font>
    <font>
      <name val="맑은 고딕"/>
      <b val="1"/>
      <color rgb="FF000000"/>
      <sz val="10"/>
    </font>
    <font>
      <name val="맑은 고딕"/>
      <b val="1"/>
      <color rgb="FF1F3864"/>
      <sz val="10"/>
    </font>
    <font>
      <name val="맑은 고딕"/>
      <b val="1"/>
      <color rgb="FFFFFFFF"/>
      <sz val="10"/>
    </font>
    <font>
      <name val="맑은 고딕"/>
      <b val="1"/>
      <color rgb="FF00804A"/>
      <sz val="10"/>
    </font>
    <font>
      <name val="맑은 고딕"/>
      <b val="1"/>
      <color rgb="FF1F3864"/>
      <sz val="12"/>
    </font>
    <font>
      <name val="맑은 고딕"/>
      <color rgb="FF0000FF"/>
      <sz val="10"/>
    </font>
    <font>
      <name val="맑은 고딕"/>
      <color rgb="FFC00000"/>
      <sz val="10"/>
    </font>
  </fonts>
  <fills count="23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D9E1F2"/>
      </patternFill>
    </fill>
    <fill>
      <patternFill patternType="solid">
        <fgColor rgb="FFFFF59D"/>
      </patternFill>
    </fill>
    <fill>
      <patternFill patternType="solid">
        <fgColor rgb="FF2F5597"/>
      </patternFill>
    </fill>
    <fill>
      <patternFill patternType="solid">
        <fgColor rgb="FFDDEBF7"/>
      </patternFill>
    </fill>
    <fill>
      <patternFill patternType="solid">
        <fgColor rgb="FFFFF9C4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FFF2CC"/>
      </patternFill>
    </fill>
    <fill>
      <patternFill patternType="solid">
        <fgColor rgb="FFFFE5B4"/>
      </patternFill>
    </fill>
    <fill>
      <patternFill patternType="solid">
        <fgColor rgb="FFEDEDED"/>
      </patternFill>
    </fill>
    <fill>
      <patternFill patternType="solid">
        <fgColor rgb="FFE4DFEC"/>
      </patternFill>
    </fill>
    <fill>
      <patternFill patternType="solid">
        <fgColor rgb="FFFDE9D9"/>
      </patternFill>
    </fill>
    <fill>
      <patternFill patternType="solid">
        <fgColor rgb="FFF8CBAD"/>
      </patternFill>
    </fill>
    <fill>
      <patternFill patternType="solid">
        <fgColor rgb="FFF2F2F2"/>
      </patternFill>
    </fill>
    <fill>
      <patternFill patternType="solid">
        <fgColor rgb="FFDEEAF1"/>
      </patternFill>
    </fill>
    <fill>
      <patternFill patternType="solid">
        <fgColor rgb="FFD9F2F2"/>
      </patternFill>
    </fill>
    <fill>
      <patternFill patternType="solid">
        <fgColor rgb="FFEFEFEF"/>
      </patternFill>
    </fill>
    <fill>
      <patternFill patternType="solid">
        <fgColor rgb="FFFADADD"/>
      </patternFill>
    </fill>
    <fill>
      <patternFill patternType="solid">
        <fgColor rgb="FFFFE699"/>
      </patternFill>
    </fill>
    <fill>
      <patternFill patternType="solid">
        <fgColor rgb="FFF4E1F5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9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  <xf numFmtId="0" fontId="3" fillId="3" borderId="0" pivotButton="0" quotePrefix="0" xfId="0"/>
    <xf numFmtId="0" fontId="4" fillId="3" borderId="0" applyAlignment="1" pivotButton="0" quotePrefix="0" xfId="0">
      <alignment vertical="top" wrapText="1"/>
    </xf>
    <xf numFmtId="0" fontId="5" fillId="0" borderId="0" pivotButton="0" quotePrefix="0" xfId="0"/>
    <xf numFmtId="0" fontId="4" fillId="0" borderId="0" applyAlignment="1" pivotButton="0" quotePrefix="0" xfId="0">
      <alignment vertical="top" wrapText="1"/>
    </xf>
    <xf numFmtId="0" fontId="7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4" fillId="0" borderId="1" pivotButton="0" quotePrefix="0" xfId="0"/>
    <xf numFmtId="0" fontId="0" fillId="0" borderId="1" pivotButton="0" quotePrefix="0" xfId="0"/>
    <xf numFmtId="9" fontId="0" fillId="0" borderId="1" pivotButton="0" quotePrefix="0" xfId="0"/>
    <xf numFmtId="9" fontId="4" fillId="0" borderId="1" pivotButton="0" quotePrefix="0" xfId="0"/>
    <xf numFmtId="9" fontId="0" fillId="0" borderId="0" pivotButton="0" quotePrefix="0" xfId="0"/>
    <xf numFmtId="0" fontId="0" fillId="6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  <xf numFmtId="0" fontId="0" fillId="12" borderId="1" pivotButton="0" quotePrefix="0" xfId="0"/>
    <xf numFmtId="0" fontId="0" fillId="13" borderId="1" pivotButton="0" quotePrefix="0" xfId="0"/>
    <xf numFmtId="0" fontId="0" fillId="14" borderId="1" pivotButton="0" quotePrefix="0" xfId="0"/>
    <xf numFmtId="0" fontId="0" fillId="15" borderId="1" pivotButton="0" quotePrefix="0" xfId="0"/>
    <xf numFmtId="0" fontId="0" fillId="16" borderId="1" pivotButton="0" quotePrefix="0" xfId="0"/>
    <xf numFmtId="0" fontId="0" fillId="17" borderId="1" pivotButton="0" quotePrefix="0" xfId="0"/>
    <xf numFmtId="0" fontId="0" fillId="18" borderId="1" pivotButton="0" quotePrefix="0" xfId="0"/>
    <xf numFmtId="0" fontId="0" fillId="19" borderId="1" pivotButton="0" quotePrefix="0" xfId="0"/>
    <xf numFmtId="0" fontId="0" fillId="20" borderId="1" pivotButton="0" quotePrefix="0" xfId="0"/>
    <xf numFmtId="0" fontId="0" fillId="21" borderId="1" pivotButton="0" quotePrefix="0" xfId="0"/>
    <xf numFmtId="0" fontId="0" fillId="22" borderId="1" pivotButton="0" quotePrefix="0" xfId="0"/>
    <xf numFmtId="0" fontId="6" fillId="3" borderId="0" applyAlignment="1" pivotButton="0" quotePrefix="0" xfId="0">
      <alignment horizontal="center" vertical="center" wrapText="1"/>
    </xf>
    <xf numFmtId="0" fontId="6" fillId="4" borderId="0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8" fillId="0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vertical="top" wrapText="1"/>
    </xf>
    <xf numFmtId="0" fontId="4" fillId="0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vertical="top" wrapText="1"/>
    </xf>
    <xf numFmtId="0" fontId="0" fillId="8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vertical="top" wrapText="1"/>
    </xf>
    <xf numFmtId="0" fontId="4" fillId="8" borderId="1" applyAlignment="1" pivotButton="0" quotePrefix="0" xfId="0">
      <alignment vertical="top" wrapText="1"/>
    </xf>
    <xf numFmtId="0" fontId="0" fillId="9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vertical="top" wrapText="1"/>
    </xf>
    <xf numFmtId="0" fontId="4" fillId="9" borderId="1" applyAlignment="1" pivotButton="0" quotePrefix="0" xfId="0">
      <alignment vertical="top" wrapText="1"/>
    </xf>
    <xf numFmtId="0" fontId="0" fillId="10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vertical="top" wrapText="1"/>
    </xf>
    <xf numFmtId="0" fontId="4" fillId="10" borderId="1" applyAlignment="1" pivotButton="0" quotePrefix="0" xfId="0">
      <alignment vertical="top" wrapText="1"/>
    </xf>
    <xf numFmtId="0" fontId="0" fillId="11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vertical="top" wrapText="1"/>
    </xf>
    <xf numFmtId="0" fontId="4" fillId="11" borderId="1" applyAlignment="1" pivotButton="0" quotePrefix="0" xfId="0">
      <alignment vertical="top" wrapText="1"/>
    </xf>
    <xf numFmtId="0" fontId="0" fillId="12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vertical="top" wrapText="1"/>
    </xf>
    <xf numFmtId="0" fontId="4" fillId="12" borderId="1" applyAlignment="1" pivotButton="0" quotePrefix="0" xfId="0">
      <alignment vertical="top" wrapText="1"/>
    </xf>
    <xf numFmtId="0" fontId="0" fillId="13" borderId="1" applyAlignment="1" pivotButton="0" quotePrefix="0" xfId="0">
      <alignment horizontal="center" vertical="center" wrapText="1"/>
    </xf>
    <xf numFmtId="0" fontId="5" fillId="13" borderId="1" applyAlignment="1" pivotButton="0" quotePrefix="0" xfId="0">
      <alignment vertical="top" wrapText="1"/>
    </xf>
    <xf numFmtId="0" fontId="4" fillId="13" borderId="1" applyAlignment="1" pivotButton="0" quotePrefix="0" xfId="0">
      <alignment vertical="top" wrapText="1"/>
    </xf>
    <xf numFmtId="0" fontId="0" fillId="14" borderId="1" applyAlignment="1" pivotButton="0" quotePrefix="0" xfId="0">
      <alignment horizontal="center" vertical="center" wrapText="1"/>
    </xf>
    <xf numFmtId="0" fontId="5" fillId="14" borderId="1" applyAlignment="1" pivotButton="0" quotePrefix="0" xfId="0">
      <alignment vertical="top" wrapText="1"/>
    </xf>
    <xf numFmtId="0" fontId="4" fillId="14" borderId="1" applyAlignment="1" pivotButton="0" quotePrefix="0" xfId="0">
      <alignment vertical="top" wrapText="1"/>
    </xf>
    <xf numFmtId="0" fontId="0" fillId="15" borderId="1" applyAlignment="1" pivotButton="0" quotePrefix="0" xfId="0">
      <alignment horizontal="center" vertical="center" wrapText="1"/>
    </xf>
    <xf numFmtId="0" fontId="5" fillId="15" borderId="1" applyAlignment="1" pivotButton="0" quotePrefix="0" xfId="0">
      <alignment vertical="top" wrapText="1"/>
    </xf>
    <xf numFmtId="0" fontId="4" fillId="15" borderId="1" applyAlignment="1" pivotButton="0" quotePrefix="0" xfId="0">
      <alignment vertical="top" wrapText="1"/>
    </xf>
    <xf numFmtId="0" fontId="0" fillId="16" borderId="1" applyAlignment="1" pivotButton="0" quotePrefix="0" xfId="0">
      <alignment horizontal="center" vertical="center" wrapText="1"/>
    </xf>
    <xf numFmtId="0" fontId="5" fillId="16" borderId="1" applyAlignment="1" pivotButton="0" quotePrefix="0" xfId="0">
      <alignment vertical="top" wrapText="1"/>
    </xf>
    <xf numFmtId="0" fontId="4" fillId="16" borderId="1" applyAlignment="1" pivotButton="0" quotePrefix="0" xfId="0">
      <alignment vertical="top" wrapText="1"/>
    </xf>
    <xf numFmtId="0" fontId="0" fillId="17" borderId="1" applyAlignment="1" pivotButton="0" quotePrefix="0" xfId="0">
      <alignment horizontal="center" vertical="center" wrapText="1"/>
    </xf>
    <xf numFmtId="0" fontId="5" fillId="17" borderId="1" applyAlignment="1" pivotButton="0" quotePrefix="0" xfId="0">
      <alignment vertical="top" wrapText="1"/>
    </xf>
    <xf numFmtId="0" fontId="4" fillId="17" borderId="1" applyAlignment="1" pivotButton="0" quotePrefix="0" xfId="0">
      <alignment vertical="top" wrapText="1"/>
    </xf>
    <xf numFmtId="0" fontId="0" fillId="18" borderId="1" applyAlignment="1" pivotButton="0" quotePrefix="0" xfId="0">
      <alignment horizontal="center" vertical="center" wrapText="1"/>
    </xf>
    <xf numFmtId="0" fontId="5" fillId="18" borderId="1" applyAlignment="1" pivotButton="0" quotePrefix="0" xfId="0">
      <alignment vertical="top" wrapText="1"/>
    </xf>
    <xf numFmtId="0" fontId="4" fillId="18" borderId="1" applyAlignment="1" pivotButton="0" quotePrefix="0" xfId="0">
      <alignment vertical="top" wrapText="1"/>
    </xf>
    <xf numFmtId="0" fontId="0" fillId="19" borderId="1" applyAlignment="1" pivotButton="0" quotePrefix="0" xfId="0">
      <alignment horizontal="center" vertical="center" wrapText="1"/>
    </xf>
    <xf numFmtId="0" fontId="5" fillId="19" borderId="1" applyAlignment="1" pivotButton="0" quotePrefix="0" xfId="0">
      <alignment vertical="top" wrapText="1"/>
    </xf>
    <xf numFmtId="0" fontId="4" fillId="19" borderId="1" applyAlignment="1" pivotButton="0" quotePrefix="0" xfId="0">
      <alignment vertical="top" wrapText="1"/>
    </xf>
    <xf numFmtId="0" fontId="0" fillId="20" borderId="1" applyAlignment="1" pivotButton="0" quotePrefix="0" xfId="0">
      <alignment horizontal="center" vertical="center" wrapText="1"/>
    </xf>
    <xf numFmtId="0" fontId="5" fillId="20" borderId="1" applyAlignment="1" pivotButton="0" quotePrefix="0" xfId="0">
      <alignment vertical="top" wrapText="1"/>
    </xf>
    <xf numFmtId="0" fontId="4" fillId="20" borderId="1" applyAlignment="1" pivotButton="0" quotePrefix="0" xfId="0">
      <alignment vertical="top" wrapText="1"/>
    </xf>
    <xf numFmtId="0" fontId="0" fillId="21" borderId="1" applyAlignment="1" pivotButton="0" quotePrefix="0" xfId="0">
      <alignment horizontal="center" vertical="center" wrapText="1"/>
    </xf>
    <xf numFmtId="0" fontId="5" fillId="21" borderId="1" applyAlignment="1" pivotButton="0" quotePrefix="0" xfId="0">
      <alignment vertical="top" wrapText="1"/>
    </xf>
    <xf numFmtId="0" fontId="4" fillId="21" borderId="1" applyAlignment="1" pivotButton="0" quotePrefix="0" xfId="0">
      <alignment vertical="top" wrapText="1"/>
    </xf>
    <xf numFmtId="0" fontId="0" fillId="22" borderId="1" applyAlignment="1" pivotButton="0" quotePrefix="0" xfId="0">
      <alignment horizontal="center" vertical="center" wrapText="1"/>
    </xf>
    <xf numFmtId="0" fontId="5" fillId="22" borderId="1" applyAlignment="1" pivotButton="0" quotePrefix="0" xfId="0">
      <alignment vertical="top" wrapText="1"/>
    </xf>
    <xf numFmtId="0" fontId="4" fillId="22" borderId="1" applyAlignment="1" pivotButton="0" quotePrefix="0" xfId="0">
      <alignment vertical="top" wrapText="1"/>
    </xf>
    <xf numFmtId="0" fontId="9" fillId="0" borderId="0" pivotButton="0" quotePrefix="0" xfId="0"/>
    <xf numFmtId="0" fontId="10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0" fontId="11" fillId="0" borderId="1" applyAlignment="1" pivotButton="0" quotePrefix="0" xfId="0">
      <alignment vertical="top" wrapText="1"/>
    </xf>
    <xf numFmtId="0" fontId="0" fillId="7" borderId="1" pivotButton="0" quotePrefix="0" xfId="0"/>
  </cellXfs>
  <cellStyles count="1">
    <cellStyle name="Normal" xfId="0" builtinId="0" hidden="0"/>
  </cellStyles>
  <dxfs count="3">
    <dxf>
      <fill>
        <patternFill patternType="solid">
          <fgColor rgb="FFC6EFCE"/>
        </patternFill>
      </fill>
    </dxf>
    <dxf>
      <fill>
        <patternFill patternType="solid">
          <fgColor rgb="FFDDEBF7"/>
        </patternFill>
      </fill>
    </dxf>
    <dxf>
      <fill>
        <patternFill patternType="solid">
          <fgColor rgb="FF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cols>
    <col width="26" customWidth="1" min="1" max="1"/>
    <col width="110" customWidth="1" min="2" max="2"/>
  </cols>
  <sheetData>
    <row r="1" ht="26" customHeight="1">
      <c r="A1" s="1" t="inlineStr">
        <is>
          <t>원료 마스터 — 원료 하나를 끝까지 파서 원하는 제형을 만든다</t>
        </is>
      </c>
    </row>
    <row r="2" ht="48" customHeight="1">
      <c r="A2" s="2" t="inlineStr">
        <is>
          <t>제품개발_마스터의 '원료'(보유)·'원료 도감'을 깊게 판 학습 워크북. 재생성: uv run python scripts/ingredient_master.py (내 기록 칸은 보존).</t>
        </is>
      </c>
    </row>
    <row r="4">
      <c r="A4" s="3" t="inlineStr">
        <is>
          <t>■ 하루 1원료 루프 (15분)</t>
        </is>
      </c>
      <c r="B4" s="4" t="inlineStr"/>
    </row>
    <row r="5">
      <c r="A5" s="5" t="inlineStr">
        <is>
          <t>① 카드 읽기 (5분)</t>
        </is>
      </c>
      <c r="B5" s="6" t="inlineStr">
        <is>
          <t>'원료 카드'에서 한 행을 왼쪽→오른쪽으로. 정체→감각→처방→사업→규제→판단 순서.</t>
        </is>
      </c>
    </row>
    <row r="6">
      <c r="A6" s="5" t="inlineStr">
        <is>
          <t>② 손 테스트 (5분)</t>
        </is>
      </c>
      <c r="B6" s="6" t="inlineStr">
        <is>
          <t>'손 테스트 과제' 열 그대로. 보유 원료는 지금 바로 가능 — 문서보다 손이 먼저.</t>
        </is>
      </c>
    </row>
    <row r="7">
      <c r="A7" s="5" t="inlineStr">
        <is>
          <t>③ 기록 (2분)</t>
        </is>
      </c>
      <c r="B7" s="6" t="inlineStr">
        <is>
          <t>노란 칸: 손테스트 ○ · 내 관찰 메모(내 말로 한 줄) · 숙련도 드롭다운.</t>
        </is>
      </c>
    </row>
    <row r="8">
      <c r="A8" s="5" t="inlineStr">
        <is>
          <t>④ 비교 (3분)</t>
        </is>
      </c>
      <c r="B8" s="6" t="inlineStr">
        <is>
          <t>'비교 매트릭스'에서 같은 역할 원료와 점수 비교 → 내 손 결과와 다르면 점수를 고쳐 쓴다.</t>
        </is>
      </c>
    </row>
    <row r="9">
      <c r="A9" s="5" t="inlineStr"/>
      <c r="B9" s="6" t="inlineStr"/>
    </row>
    <row r="10">
      <c r="A10" s="3" t="inlineStr">
        <is>
          <t>■ 시트 안내</t>
        </is>
      </c>
      <c r="B10" s="4" t="inlineStr"/>
    </row>
    <row r="11">
      <c r="A11" s="5" t="inlineStr">
        <is>
          <t>진도판</t>
        </is>
      </c>
      <c r="B11" s="6" t="inlineStr">
        <is>
          <t>숙련도·손테스트 자동 집계. 목표: 보유 원료 마스터율 100%.</t>
        </is>
      </c>
    </row>
    <row r="12">
      <c r="A12" s="5" t="inlineStr">
        <is>
          <t>원료 카드</t>
        </is>
      </c>
      <c r="B12" s="6" t="inlineStr">
        <is>
          <t>247종 × 29개 항목. 역할 순서(용제→보습→점증→유화→오일→경화→실리콘→활성→…→향)로 정렬, 같은 역할 안에선 보유 원료가 위. '출처' 열: 기본(85·보유+핵심 비교) / 도감 기능성(58) / 허브누리(104·레시피 다빈도 단일 원료). ▼필터로 역할·보유·출처 탐색.</t>
        </is>
      </c>
    </row>
    <row r="13">
      <c r="A13" s="5" t="inlineStr">
        <is>
          <t>비교 매트릭스</t>
        </is>
      </c>
      <c r="B13" s="6" t="inlineStr">
        <is>
          <t>11개 그룹을 1~5점으로: 보습제 · 오일·에스터 · 왁스·경화(밤·립) · 점증제 · 유화제 · 실리콘·감촉 · 계면활성제(세정) · 방부 시스템 · 각질·산 · 미백·톤(고시=식약처 기능성 성분) · 에센셜오일(향).</t>
        </is>
      </c>
    </row>
    <row r="14">
      <c r="A14" s="5" t="inlineStr">
        <is>
          <t>제형 설계</t>
        </is>
      </c>
      <c r="B14" s="6" t="inlineStr">
        <is>
          <t>21개 제형(스킨케어·세정·헤어·밤·배스) → 뼈대·수상/유상%·원료 조합·감촉 레버·실패 원인·지금 가능 여부.</t>
        </is>
      </c>
    </row>
    <row r="15">
      <c r="A15" s="5" t="inlineStr">
        <is>
          <t>감촉 레버</t>
        </is>
      </c>
      <c r="B15" s="6" t="inlineStr">
        <is>
          <t>28개 '원하는 변화' → 올릴 것·내릴 것·바꿀 것·원리·확인 실험.</t>
        </is>
      </c>
    </row>
    <row r="16">
      <c r="A16" s="5" t="inlineStr">
        <is>
          <t>블렌드 해부</t>
        </is>
      </c>
      <c r="B16" s="6" t="inlineStr">
        <is>
          <t>허브누리 상품명·블렌드 원료 26종 → 추정 주성분·연결 카드·직접 만들면·살 때 받을 자료·광고 주의. 판매처/OEM 질문 목록으로 사용.</t>
        </is>
      </c>
    </row>
    <row r="17">
      <c r="A17" s="5" t="inlineStr">
        <is>
          <t>다음 공부</t>
        </is>
      </c>
      <c r="B17" s="6" t="inlineStr">
        <is>
          <t>도감(기능성 + 허브누리 2회↑) 중 아직 카드 없는 단일 원료 후보(자동). 블렌드는 '블렌드 해부'로, 완제 베이스·방향제는 제외.</t>
        </is>
      </c>
    </row>
    <row r="18">
      <c r="A18" s="5" t="inlineStr"/>
      <c r="B18" s="6" t="inlineStr"/>
    </row>
    <row r="19">
      <c r="A19" s="3" t="inlineStr">
        <is>
          <t>■ 열 읽는 법 (핵심만)</t>
        </is>
      </c>
      <c r="B19" s="4" t="inlineStr"/>
    </row>
    <row r="20">
      <c r="A20" s="5" t="inlineStr">
        <is>
          <t>기원</t>
        </is>
      </c>
      <c r="B20" s="6" t="inlineStr">
        <is>
          <t>식물·광물·발효·합성·석유·동물. '천연 유래'라도 가공(에스터화·수소화·에톡실화)을 거치면 성질이 바뀐다.</t>
        </is>
      </c>
    </row>
    <row r="21">
      <c r="A21" s="5" t="inlineStr">
        <is>
          <t>추출·제조·가공</t>
        </is>
      </c>
      <c r="B21" s="6" t="inlineStr">
        <is>
          <t>압착·증류·발효·에스터화·수소화·정제(탈색/탈취) — 같은 원료도 가공에 따라 색·냄새·안정성이 달라진다(골든 vs 정제 호호바).</t>
        </is>
      </c>
    </row>
    <row r="22">
      <c r="A22" s="5" t="inlineStr">
        <is>
          <t>투입 상·온도</t>
        </is>
      </c>
      <c r="B22" s="6" t="inlineStr">
        <is>
          <t>A=수상(가열) · B=유상(가열·유화) · 냉각상(&lt;40℃, 열에 약한 활성·방부) · pH=마지막 조정.</t>
        </is>
      </c>
    </row>
    <row r="23">
      <c r="A23" s="5" t="inlineStr">
        <is>
          <t>발림성 vs 사용감</t>
        </is>
      </c>
      <c r="B23" s="6" t="inlineStr">
        <is>
          <t>발림성=펴 바를 때 얼마나 잘 퍼지나(물리). 사용감=바르고 난 피부 느낌(끈적·보송·촉촉).</t>
        </is>
      </c>
    </row>
    <row r="24">
      <c r="A24" s="5" t="inlineStr">
        <is>
          <t>구하기</t>
        </is>
      </c>
      <c r="B24" s="6" t="inlineStr">
        <is>
          <t>★5=허브누리·천연사랑 등 소분몰 상시 / ★1=원료사·대리점 MOQ 필요.</t>
        </is>
      </c>
    </row>
    <row r="25">
      <c r="A25" s="5" t="inlineStr">
        <is>
          <t>사용제한·식약처 고시</t>
        </is>
      </c>
      <c r="B25" s="6" t="inlineStr">
        <is>
          <t>★ 표시 = 사용한도/기능성 고시 해당. 시험·판매 둘 다 직결 — 제품개발_마스터 '사용제한원료' 시트와 연결해서 볼 것.</t>
        </is>
      </c>
    </row>
    <row r="26">
      <c r="A26" s="5" t="inlineStr"/>
      <c r="B26" s="6" t="inlineStr"/>
    </row>
    <row r="27">
      <c r="A27" s="3" t="inlineStr">
        <is>
          <t>■ 공부 우선순위</t>
        </is>
      </c>
      <c r="B27" s="4" t="inlineStr"/>
    </row>
    <row r="28">
      <c r="A28" s="5" t="inlineStr">
        <is>
          <t>1단계</t>
        </is>
      </c>
      <c r="B28" s="6" t="inlineStr">
        <is>
          <t>보유(✓) 원료 29종 — 이미 손에 있다. 손 테스트로 숙련도 2 만들기.</t>
        </is>
      </c>
    </row>
    <row r="29">
      <c r="A29" s="5" t="inlineStr">
        <is>
          <t>2단계</t>
        </is>
      </c>
      <c r="B29" s="6" t="inlineStr">
        <is>
          <t>보유 원료의 '비교 원료' 열에 나온 것 — 왜 내가 그걸 안 골랐는지 설명할 수 있으면 마스터.</t>
        </is>
      </c>
    </row>
    <row r="30">
      <c r="A30" s="5" t="inlineStr">
        <is>
          <t>3단계</t>
        </is>
      </c>
      <c r="B30" s="6" t="inlineStr">
        <is>
          <t>제형 설계에서 '✗/구매 시' 제형을 열어주는 원료(카보머 입고·칸데릴라·HEC 등).</t>
        </is>
      </c>
    </row>
    <row r="31">
      <c r="A31" s="5" t="inlineStr">
        <is>
          <t>4단계</t>
        </is>
      </c>
      <c r="B31" s="6" t="inlineStr">
        <is>
          <t>허브누리 카드(꽃수·식물 오일·추출물·에센셜오일) — 레시피에서 자주 보는 원료를 '고시·알레르기·산패' 관점으로 다시 읽기.</t>
        </is>
      </c>
    </row>
    <row r="32">
      <c r="A32" s="5" t="inlineStr">
        <is>
          <t>허브누리 브랜드 원료</t>
        </is>
      </c>
      <c r="B32" s="6" t="inlineStr">
        <is>
          <t>'올리브리퀴드·올리왁스LC·천연 보존제'처럼 판매처 상품명인 원료는 INCI 칸에 (예)·'TDS 확인'으로 표시 — 구매 시 전성분으로 확정.</t>
        </is>
      </c>
    </row>
    <row r="33">
      <c r="A33" s="5" t="inlineStr"/>
      <c r="B33" s="6" t="inlineStr"/>
    </row>
    <row r="34">
      <c r="A34" s="5" t="inlineStr">
        <is>
          <t>⚠ 주의</t>
        </is>
      </c>
      <c r="B34" s="6" t="inlineStr">
        <is>
          <t>가격=2026 소량 소매 추정(직접 고쳐 쓰기). %·고시 수치는 교육용 정리 — 제조·판매·수출 전 식약처 최신 고시, 공급사 TDS/CoA, 수출국 규정(EU·중국 등) 재확인. 화장품은 '치료·항염·살균' 등 의약품 오인 표방 금지.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3" customWidth="1" min="3" max="3"/>
    <col width="16" customWidth="1" min="4" max="4"/>
    <col width="10" customWidth="1" min="5" max="5"/>
    <col width="10" customWidth="1" min="6" max="6"/>
  </cols>
  <sheetData>
    <row r="1" ht="26" customHeight="1">
      <c r="A1" s="1" t="inlineStr">
        <is>
          <t>진도판 — 원료를 '읽은 것'에서 '처방에 쓴 것'까지</t>
        </is>
      </c>
    </row>
    <row r="2" ht="48" customHeight="1">
      <c r="A2" s="2" t="inlineStr">
        <is>
          <t>자동 집계(수식). '원료 카드'의 노란 칸(손테스트·숙련도)을 채우면 여기 숫자가 움직인다. 목표: 보유 원료 전부 '2 만져봄' 이상 → 비교 원료로 확장.</t>
        </is>
      </c>
    </row>
    <row r="4">
      <c r="A4" s="7" t="inlineStr">
        <is>
          <t>항목</t>
        </is>
      </c>
      <c r="B4" s="7" t="inlineStr">
        <is>
          <t>값</t>
        </is>
      </c>
      <c r="C4" s="7" t="inlineStr"/>
      <c r="D4" s="7" t="inlineStr">
        <is>
          <t>숙련도</t>
        </is>
      </c>
      <c r="E4" s="7" t="inlineStr">
        <is>
          <t>원료 수</t>
        </is>
      </c>
      <c r="F4" s="7" t="inlineStr">
        <is>
          <t>비율</t>
        </is>
      </c>
    </row>
    <row r="5">
      <c r="A5" s="8" t="inlineStr">
        <is>
          <t>전체 원료 카드</t>
        </is>
      </c>
      <c r="B5" s="9">
        <f>COUNTA('원료 카드'!$B$5:$B$251)</f>
        <v/>
      </c>
      <c r="D5" s="10" t="inlineStr">
        <is>
          <t>0 모름</t>
        </is>
      </c>
      <c r="E5" s="10">
        <f>COUNTIF('원료 카드'!$AG$5:$AG$251,"0*")</f>
        <v/>
      </c>
      <c r="F5" s="11">
        <f>IFERROR(E5/$B$5,0)</f>
        <v/>
      </c>
    </row>
    <row r="6">
      <c r="A6" s="8" t="inlineStr">
        <is>
          <t>보유(✓) 원료</t>
        </is>
      </c>
      <c r="B6" s="9">
        <f>COUNTIF('원료 카드'!$D$5:$D$251,"✓")</f>
        <v/>
      </c>
      <c r="D6" s="10" t="inlineStr">
        <is>
          <t>1 읽음</t>
        </is>
      </c>
      <c r="E6" s="10">
        <f>COUNTIF('원료 카드'!$AG$5:$AG$251,"1*")</f>
        <v/>
      </c>
      <c r="F6" s="11">
        <f>IFERROR(E6/$B$5,0)</f>
        <v/>
      </c>
    </row>
    <row r="7">
      <c r="A7" s="8" t="inlineStr">
        <is>
          <t>손 테스트 완료(○)</t>
        </is>
      </c>
      <c r="B7" s="9">
        <f>COUNTIF('원료 카드'!$AE$5:$AE$251,"○")</f>
        <v/>
      </c>
      <c r="D7" s="10" t="inlineStr">
        <is>
          <t>2 만져봄</t>
        </is>
      </c>
      <c r="E7" s="10">
        <f>COUNTIF('원료 카드'!$AG$5:$AG$251,"2*")</f>
        <v/>
      </c>
      <c r="F7" s="11">
        <f>IFERROR(E7/$B$5,0)</f>
        <v/>
      </c>
    </row>
    <row r="8">
      <c r="A8" s="8" t="inlineStr">
        <is>
          <t>보유 중 '2 만져봄' 이상</t>
        </is>
      </c>
      <c r="B8" s="9">
        <f>COUNTIFS('원료 카드'!$D$5:$D$251,"✓",'원료 카드'!$AG$5:$AG$251,"2*")+COUNTIFS('원료 카드'!$D$5:$D$251,"✓",'원료 카드'!$AG$5:$AG$251,"3*")</f>
        <v/>
      </c>
      <c r="D8" s="10" t="inlineStr">
        <is>
          <t>3 처방에 씀</t>
        </is>
      </c>
      <c r="E8" s="10">
        <f>COUNTIF('원료 카드'!$AG$5:$AG$251,"3*")</f>
        <v/>
      </c>
      <c r="F8" s="11">
        <f>IFERROR(E8/$B$5,0)</f>
        <v/>
      </c>
    </row>
    <row r="9">
      <c r="A9" s="8" t="inlineStr">
        <is>
          <t>보유 원료 마스터율</t>
        </is>
      </c>
      <c r="B9" s="12">
        <f>IFERROR(B8/B6,0)</f>
        <v/>
      </c>
      <c r="D9" s="10" t="inlineStr">
        <is>
          <t>미기록</t>
        </is>
      </c>
      <c r="E9" s="10">
        <f>B5-SUM(E5:E8)</f>
        <v/>
      </c>
      <c r="F9" s="13">
        <f>IFERROR(E9/$B$5,0)</f>
        <v/>
      </c>
    </row>
    <row r="12">
      <c r="A12" s="7" t="inlineStr">
        <is>
          <t>역할</t>
        </is>
      </c>
      <c r="B12" s="7" t="inlineStr">
        <is>
          <t>카드 수</t>
        </is>
      </c>
      <c r="C12" s="7" t="inlineStr"/>
      <c r="D12" s="7" t="inlineStr">
        <is>
          <t>보유</t>
        </is>
      </c>
      <c r="E12" s="7" t="inlineStr">
        <is>
          <t>만져봄↑</t>
        </is>
      </c>
      <c r="F12" s="7" t="inlineStr">
        <is>
          <t>손테스트○</t>
        </is>
      </c>
    </row>
    <row r="13">
      <c r="A13" s="14" t="inlineStr">
        <is>
          <t>용제</t>
        </is>
      </c>
      <c r="B13" s="10">
        <f>COUNTIF('원료 카드'!$E$5:$E$251,A13)</f>
        <v/>
      </c>
      <c r="D13" s="10">
        <f>COUNTIFS('원료 카드'!$E$5:$E$251,A13,'원료 카드'!$D$5:$D$251,"✓")</f>
        <v/>
      </c>
      <c r="E13" s="10">
        <f>COUNTIFS('원료 카드'!$E$5:$E$251,A13,'원료 카드'!$AG$5:$AG$251,"2*")+COUNTIFS('원료 카드'!$E$5:$E$251,A13,'원료 카드'!$AG$5:$AG$251,"3*")</f>
        <v/>
      </c>
      <c r="F13" s="10">
        <f>COUNTIFS('원료 카드'!$E$5:$E$251,A13,'원료 카드'!$AE$5:$AE$251,"○")</f>
        <v/>
      </c>
    </row>
    <row r="14">
      <c r="A14" s="14" t="inlineStr">
        <is>
          <t>보습</t>
        </is>
      </c>
      <c r="B14" s="10">
        <f>COUNTIF('원료 카드'!$E$5:$E$251,A14)</f>
        <v/>
      </c>
      <c r="D14" s="10">
        <f>COUNTIFS('원료 카드'!$E$5:$E$251,A14,'원료 카드'!$D$5:$D$251,"✓")</f>
        <v/>
      </c>
      <c r="E14" s="10">
        <f>COUNTIFS('원료 카드'!$E$5:$E$251,A14,'원료 카드'!$AG$5:$AG$251,"2*")+COUNTIFS('원료 카드'!$E$5:$E$251,A14,'원료 카드'!$AG$5:$AG$251,"3*")</f>
        <v/>
      </c>
      <c r="F14" s="10">
        <f>COUNTIFS('원료 카드'!$E$5:$E$251,A14,'원료 카드'!$AE$5:$AE$251,"○")</f>
        <v/>
      </c>
    </row>
    <row r="15">
      <c r="A15" s="15" t="inlineStr">
        <is>
          <t>점증</t>
        </is>
      </c>
      <c r="B15" s="10">
        <f>COUNTIF('원료 카드'!$E$5:$E$251,A15)</f>
        <v/>
      </c>
      <c r="D15" s="10">
        <f>COUNTIFS('원료 카드'!$E$5:$E$251,A15,'원료 카드'!$D$5:$D$251,"✓")</f>
        <v/>
      </c>
      <c r="E15" s="10">
        <f>COUNTIFS('원료 카드'!$E$5:$E$251,A15,'원료 카드'!$AG$5:$AG$251,"2*")+COUNTIFS('원료 카드'!$E$5:$E$251,A15,'원료 카드'!$AG$5:$AG$251,"3*")</f>
        <v/>
      </c>
      <c r="F15" s="10">
        <f>COUNTIFS('원료 카드'!$E$5:$E$251,A15,'원료 카드'!$AE$5:$AE$251,"○")</f>
        <v/>
      </c>
    </row>
    <row r="16">
      <c r="A16" s="16" t="inlineStr">
        <is>
          <t>유화</t>
        </is>
      </c>
      <c r="B16" s="10">
        <f>COUNTIF('원료 카드'!$E$5:$E$251,A16)</f>
        <v/>
      </c>
      <c r="D16" s="10">
        <f>COUNTIFS('원료 카드'!$E$5:$E$251,A16,'원료 카드'!$D$5:$D$251,"✓")</f>
        <v/>
      </c>
      <c r="E16" s="10">
        <f>COUNTIFS('원료 카드'!$E$5:$E$251,A16,'원료 카드'!$AG$5:$AG$251,"2*")+COUNTIFS('원료 카드'!$E$5:$E$251,A16,'원료 카드'!$AG$5:$AG$251,"3*")</f>
        <v/>
      </c>
      <c r="F16" s="10">
        <f>COUNTIFS('원료 카드'!$E$5:$E$251,A16,'원료 카드'!$AE$5:$AE$251,"○")</f>
        <v/>
      </c>
    </row>
    <row r="17">
      <c r="A17" s="17" t="inlineStr">
        <is>
          <t>에몰리언트</t>
        </is>
      </c>
      <c r="B17" s="10">
        <f>COUNTIF('원료 카드'!$E$5:$E$251,A17)</f>
        <v/>
      </c>
      <c r="D17" s="10">
        <f>COUNTIFS('원료 카드'!$E$5:$E$251,A17,'원료 카드'!$D$5:$D$251,"✓")</f>
        <v/>
      </c>
      <c r="E17" s="10">
        <f>COUNTIFS('원료 카드'!$E$5:$E$251,A17,'원료 카드'!$AG$5:$AG$251,"2*")+COUNTIFS('원료 카드'!$E$5:$E$251,A17,'원료 카드'!$AG$5:$AG$251,"3*")</f>
        <v/>
      </c>
      <c r="F17" s="10">
        <f>COUNTIFS('원료 카드'!$E$5:$E$251,A17,'원료 카드'!$AE$5:$AE$251,"○")</f>
        <v/>
      </c>
    </row>
    <row r="18">
      <c r="A18" s="18" t="inlineStr">
        <is>
          <t>경화</t>
        </is>
      </c>
      <c r="B18" s="10">
        <f>COUNTIF('원료 카드'!$E$5:$E$251,A18)</f>
        <v/>
      </c>
      <c r="D18" s="10">
        <f>COUNTIFS('원료 카드'!$E$5:$E$251,A18,'원료 카드'!$D$5:$D$251,"✓")</f>
        <v/>
      </c>
      <c r="E18" s="10">
        <f>COUNTIFS('원료 카드'!$E$5:$E$251,A18,'원료 카드'!$AG$5:$AG$251,"2*")+COUNTIFS('원료 카드'!$E$5:$E$251,A18,'원료 카드'!$AG$5:$AG$251,"3*")</f>
        <v/>
      </c>
      <c r="F18" s="10">
        <f>COUNTIFS('원료 카드'!$E$5:$E$251,A18,'원료 카드'!$AE$5:$AE$251,"○")</f>
        <v/>
      </c>
    </row>
    <row r="19">
      <c r="A19" s="19" t="inlineStr">
        <is>
          <t>감촉·실리콘</t>
        </is>
      </c>
      <c r="B19" s="10">
        <f>COUNTIF('원료 카드'!$E$5:$E$251,A19)</f>
        <v/>
      </c>
      <c r="D19" s="10">
        <f>COUNTIFS('원료 카드'!$E$5:$E$251,A19,'원료 카드'!$D$5:$D$251,"✓")</f>
        <v/>
      </c>
      <c r="E19" s="10">
        <f>COUNTIFS('원료 카드'!$E$5:$E$251,A19,'원료 카드'!$AG$5:$AG$251,"2*")+COUNTIFS('원료 카드'!$E$5:$E$251,A19,'원료 카드'!$AG$5:$AG$251,"3*")</f>
        <v/>
      </c>
      <c r="F19" s="10">
        <f>COUNTIFS('원료 카드'!$E$5:$E$251,A19,'원료 카드'!$AE$5:$AE$251,"○")</f>
        <v/>
      </c>
    </row>
    <row r="20">
      <c r="A20" s="20" t="inlineStr">
        <is>
          <t>활성</t>
        </is>
      </c>
      <c r="B20" s="10">
        <f>COUNTIF('원료 카드'!$E$5:$E$251,A20)</f>
        <v/>
      </c>
      <c r="D20" s="10">
        <f>COUNTIFS('원료 카드'!$E$5:$E$251,A20,'원료 카드'!$D$5:$D$251,"✓")</f>
        <v/>
      </c>
      <c r="E20" s="10">
        <f>COUNTIFS('원료 카드'!$E$5:$E$251,A20,'원료 카드'!$AG$5:$AG$251,"2*")+COUNTIFS('원료 카드'!$E$5:$E$251,A20,'원료 카드'!$AG$5:$AG$251,"3*")</f>
        <v/>
      </c>
      <c r="F20" s="10">
        <f>COUNTIFS('원료 카드'!$E$5:$E$251,A20,'원료 카드'!$AE$5:$AE$251,"○")</f>
        <v/>
      </c>
    </row>
    <row r="21">
      <c r="A21" s="21" t="inlineStr">
        <is>
          <t>항산화</t>
        </is>
      </c>
      <c r="B21" s="10">
        <f>COUNTIF('원료 카드'!$E$5:$E$251,A21)</f>
        <v/>
      </c>
      <c r="D21" s="10">
        <f>COUNTIFS('원료 카드'!$E$5:$E$251,A21,'원료 카드'!$D$5:$D$251,"✓")</f>
        <v/>
      </c>
      <c r="E21" s="10">
        <f>COUNTIFS('원료 카드'!$E$5:$E$251,A21,'원료 카드'!$AG$5:$AG$251,"2*")+COUNTIFS('원료 카드'!$E$5:$E$251,A21,'원료 카드'!$AG$5:$AG$251,"3*")</f>
        <v/>
      </c>
      <c r="F21" s="10">
        <f>COUNTIFS('원료 카드'!$E$5:$E$251,A21,'원료 카드'!$AE$5:$AE$251,"○")</f>
        <v/>
      </c>
    </row>
    <row r="22">
      <c r="A22" s="22" t="inlineStr">
        <is>
          <t>방부</t>
        </is>
      </c>
      <c r="B22" s="10">
        <f>COUNTIF('원료 카드'!$E$5:$E$251,A22)</f>
        <v/>
      </c>
      <c r="D22" s="10">
        <f>COUNTIFS('원료 카드'!$E$5:$E$251,A22,'원료 카드'!$D$5:$D$251,"✓")</f>
        <v/>
      </c>
      <c r="E22" s="10">
        <f>COUNTIFS('원료 카드'!$E$5:$E$251,A22,'원료 카드'!$AG$5:$AG$251,"2*")+COUNTIFS('원료 카드'!$E$5:$E$251,A22,'원료 카드'!$AG$5:$AG$251,"3*")</f>
        <v/>
      </c>
      <c r="F22" s="10">
        <f>COUNTIFS('원료 카드'!$E$5:$E$251,A22,'원료 카드'!$AE$5:$AE$251,"○")</f>
        <v/>
      </c>
    </row>
    <row r="23">
      <c r="A23" s="23" t="inlineStr">
        <is>
          <t>pH조절</t>
        </is>
      </c>
      <c r="B23" s="10">
        <f>COUNTIF('원료 카드'!$E$5:$E$251,A23)</f>
        <v/>
      </c>
      <c r="D23" s="10">
        <f>COUNTIFS('원료 카드'!$E$5:$E$251,A23,'원료 카드'!$D$5:$D$251,"✓")</f>
        <v/>
      </c>
      <c r="E23" s="10">
        <f>COUNTIFS('원료 카드'!$E$5:$E$251,A23,'원료 카드'!$AG$5:$AG$251,"2*")+COUNTIFS('원료 카드'!$E$5:$E$251,A23,'원료 카드'!$AG$5:$AG$251,"3*")</f>
        <v/>
      </c>
      <c r="F23" s="10">
        <f>COUNTIFS('원료 카드'!$E$5:$E$251,A23,'원료 카드'!$AE$5:$AE$251,"○")</f>
        <v/>
      </c>
    </row>
    <row r="24">
      <c r="A24" s="23" t="inlineStr">
        <is>
          <t>킬레이트</t>
        </is>
      </c>
      <c r="B24" s="10">
        <f>COUNTIF('원료 카드'!$E$5:$E$251,A24)</f>
        <v/>
      </c>
      <c r="D24" s="10">
        <f>COUNTIFS('원료 카드'!$E$5:$E$251,A24,'원료 카드'!$D$5:$D$251,"✓")</f>
        <v/>
      </c>
      <c r="E24" s="10">
        <f>COUNTIFS('원료 카드'!$E$5:$E$251,A24,'원료 카드'!$AG$5:$AG$251,"2*")+COUNTIFS('원료 카드'!$E$5:$E$251,A24,'원료 카드'!$AG$5:$AG$251,"3*")</f>
        <v/>
      </c>
      <c r="F24" s="10">
        <f>COUNTIFS('원료 카드'!$E$5:$E$251,A24,'원료 카드'!$AE$5:$AE$251,"○")</f>
        <v/>
      </c>
    </row>
    <row r="25">
      <c r="A25" s="24" t="inlineStr">
        <is>
          <t>가용화</t>
        </is>
      </c>
      <c r="B25" s="10">
        <f>COUNTIF('원료 카드'!$E$5:$E$251,A25)</f>
        <v/>
      </c>
      <c r="D25" s="10">
        <f>COUNTIFS('원료 카드'!$E$5:$E$251,A25,'원료 카드'!$D$5:$D$251,"✓")</f>
        <v/>
      </c>
      <c r="E25" s="10">
        <f>COUNTIFS('원료 카드'!$E$5:$E$251,A25,'원료 카드'!$AG$5:$AG$251,"2*")+COUNTIFS('원료 카드'!$E$5:$E$251,A25,'원료 카드'!$AG$5:$AG$251,"3*")</f>
        <v/>
      </c>
      <c r="F25" s="10">
        <f>COUNTIFS('원료 카드'!$E$5:$E$251,A25,'원료 카드'!$AE$5:$AE$251,"○")</f>
        <v/>
      </c>
    </row>
    <row r="26">
      <c r="A26" s="25" t="inlineStr">
        <is>
          <t>계면</t>
        </is>
      </c>
      <c r="B26" s="10">
        <f>COUNTIF('원료 카드'!$E$5:$E$251,A26)</f>
        <v/>
      </c>
      <c r="D26" s="10">
        <f>COUNTIFS('원료 카드'!$E$5:$E$251,A26,'원료 카드'!$D$5:$D$251,"✓")</f>
        <v/>
      </c>
      <c r="E26" s="10">
        <f>COUNTIFS('원료 카드'!$E$5:$E$251,A26,'원료 카드'!$AG$5:$AG$251,"2*")+COUNTIFS('원료 카드'!$E$5:$E$251,A26,'원료 카드'!$AG$5:$AG$251,"3*")</f>
        <v/>
      </c>
      <c r="F26" s="10">
        <f>COUNTIFS('원료 카드'!$E$5:$E$251,A26,'원료 카드'!$AE$5:$AE$251,"○")</f>
        <v/>
      </c>
    </row>
    <row r="27">
      <c r="A27" s="26" t="inlineStr">
        <is>
          <t>분말</t>
        </is>
      </c>
      <c r="B27" s="10">
        <f>COUNTIF('원료 카드'!$E$5:$E$251,A27)</f>
        <v/>
      </c>
      <c r="D27" s="10">
        <f>COUNTIFS('원료 카드'!$E$5:$E$251,A27,'원료 카드'!$D$5:$D$251,"✓")</f>
        <v/>
      </c>
      <c r="E27" s="10">
        <f>COUNTIFS('원료 카드'!$E$5:$E$251,A27,'원료 카드'!$AG$5:$AG$251,"2*")+COUNTIFS('원료 카드'!$E$5:$E$251,A27,'원료 카드'!$AG$5:$AG$251,"3*")</f>
        <v/>
      </c>
      <c r="F27" s="10">
        <f>COUNTIFS('원료 카드'!$E$5:$E$251,A27,'원료 카드'!$AE$5:$AE$251,"○")</f>
        <v/>
      </c>
    </row>
    <row r="28">
      <c r="A28" s="27" t="inlineStr">
        <is>
          <t>색소</t>
        </is>
      </c>
      <c r="B28" s="10">
        <f>COUNTIF('원료 카드'!$E$5:$E$251,A28)</f>
        <v/>
      </c>
      <c r="D28" s="10">
        <f>COUNTIFS('원료 카드'!$E$5:$E$251,A28,'원료 카드'!$D$5:$D$251,"✓")</f>
        <v/>
      </c>
      <c r="E28" s="10">
        <f>COUNTIFS('원료 카드'!$E$5:$E$251,A28,'원료 카드'!$AG$5:$AG$251,"2*")+COUNTIFS('원료 카드'!$E$5:$E$251,A28,'원료 카드'!$AG$5:$AG$251,"3*")</f>
        <v/>
      </c>
      <c r="F28" s="10">
        <f>COUNTIFS('원료 카드'!$E$5:$E$251,A28,'원료 카드'!$AE$5:$AE$251,"○")</f>
        <v/>
      </c>
    </row>
    <row r="29">
      <c r="A29" s="28" t="inlineStr">
        <is>
          <t>자외선</t>
        </is>
      </c>
      <c r="B29" s="10">
        <f>COUNTIF('원료 카드'!$E$5:$E$251,A29)</f>
        <v/>
      </c>
      <c r="D29" s="10">
        <f>COUNTIFS('원료 카드'!$E$5:$E$251,A29,'원료 카드'!$D$5:$D$251,"✓")</f>
        <v/>
      </c>
      <c r="E29" s="10">
        <f>COUNTIFS('원료 카드'!$E$5:$E$251,A29,'원료 카드'!$AG$5:$AG$251,"2*")+COUNTIFS('원료 카드'!$E$5:$E$251,A29,'원료 카드'!$AG$5:$AG$251,"3*")</f>
        <v/>
      </c>
      <c r="F29" s="10">
        <f>COUNTIFS('원료 카드'!$E$5:$E$251,A29,'원료 카드'!$AE$5:$AE$251,"○")</f>
        <v/>
      </c>
    </row>
    <row r="30">
      <c r="A30" s="29" t="inlineStr">
        <is>
          <t>향</t>
        </is>
      </c>
      <c r="B30" s="10">
        <f>COUNTIF('원료 카드'!$E$5:$E$251,A30)</f>
        <v/>
      </c>
      <c r="D30" s="10">
        <f>COUNTIFS('원료 카드'!$E$5:$E$251,A30,'원료 카드'!$D$5:$D$251,"✓")</f>
        <v/>
      </c>
      <c r="E30" s="10">
        <f>COUNTIFS('원료 카드'!$E$5:$E$251,A30,'원료 카드'!$AG$5:$AG$251,"2*")+COUNTIFS('원료 카드'!$E$5:$E$251,A30,'원료 카드'!$AG$5:$AG$251,"3*")</f>
        <v/>
      </c>
      <c r="F30" s="10">
        <f>COUNTIFS('원료 카드'!$E$5:$E$251,A30,'원료 카드'!$AE$5:$AE$251,"○")</f>
        <v/>
      </c>
    </row>
  </sheetData>
  <mergeCells count="2">
    <mergeCell ref="A2:F2"/>
    <mergeCell ref="A1:F1"/>
  </mergeCells>
  <conditionalFormatting sqref="F5:F9">
    <cfRule type="colorScale" priority="1">
      <colorScale>
        <cfvo type="num" val="0"/>
        <cfvo type="num" val="1"/>
        <color rgb="FFFFFFFF"/>
        <color rgb="FF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25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8" customWidth="1" min="2" max="2"/>
    <col width="24" customWidth="1" min="3" max="3"/>
    <col width="7" customWidth="1" min="4" max="4"/>
    <col width="11" customWidth="1" min="5" max="5"/>
    <col width="20" customWidth="1" min="6" max="6"/>
    <col width="10" customWidth="1" min="7" max="7"/>
    <col width="26" customWidth="1" min="8" max="8"/>
    <col width="34" customWidth="1" min="9" max="9"/>
    <col width="2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8" customWidth="1" min="15" max="15"/>
    <col width="28" customWidth="1" min="16" max="16"/>
    <col width="18" customWidth="1" min="17" max="17"/>
    <col width="20" customWidth="1" min="18" max="18"/>
    <col width="12" customWidth="1" min="19" max="19"/>
    <col width="22" customWidth="1" min="20" max="20"/>
    <col width="34" customWidth="1" min="21" max="21"/>
    <col width="16" customWidth="1" min="22" max="22"/>
    <col width="8" customWidth="1" min="23" max="23"/>
    <col width="18" customWidth="1" min="24" max="24"/>
    <col width="30" customWidth="1" min="25" max="25"/>
    <col width="26" customWidth="1" min="26" max="26"/>
    <col width="22" customWidth="1" min="27" max="27"/>
    <col width="36" customWidth="1" min="28" max="28"/>
    <col width="36" customWidth="1" min="29" max="29"/>
    <col width="11" customWidth="1" min="30" max="30"/>
    <col width="9" customWidth="1" min="31" max="31"/>
    <col width="34" customWidth="1" min="32" max="32"/>
    <col width="9" customWidth="1" min="33" max="33"/>
  </cols>
  <sheetData>
    <row r="1" ht="26" customHeight="1">
      <c r="A1" s="1" t="inlineStr">
        <is>
          <t>원료 카드 — 247종 심화 (보유 원료 전부 + 비교 핵심 원료)</t>
        </is>
      </c>
    </row>
    <row r="2" ht="48" customHeight="1">
      <c r="A2" s="2" t="inlineStr">
        <is>
          <t>1행=원료 1개. 왼쪽→오른쪽 순서가 곧 공부 순서: ①정체(기원·원재료·가공) ②감각(형태·색·냄새·사용감·발림성) ③처방(%·상·pH·궁합) ④사업(가격·구하기·보관) ⑤규제(고시·시험) ⑥판단(비교·고르는 기준) ⑦손 테스트.   ┃ 노란 칸 3개(손테스트·내 관찰 메모·숙련도)만 내가 적는 칸 — 재생성해도 보존.   ┃ 보유: ✓=있음, 주문=입고 대기, 필요=구매 필요, –=미보유(비교용).   ┃ ⚠ 가격은 2026 소량 소매 추정, 고시 수치는 교육용 정리 — 판매 전 식약처 최신 고시·TDS 재확인.</t>
        </is>
      </c>
    </row>
    <row r="3">
      <c r="B3" s="30" t="inlineStr">
        <is>
          <t>① 정체 — 무엇이고 어디서 어떻게 오나</t>
        </is>
      </c>
      <c r="K3" s="30" t="inlineStr">
        <is>
          <t>② 감각 — 보고·맡고·발라보기</t>
        </is>
      </c>
      <c r="S3" s="30" t="inlineStr">
        <is>
          <t>③ 처방 — 얼마나·언제·무엇과</t>
        </is>
      </c>
      <c r="V3" s="30" t="inlineStr">
        <is>
          <t>④ 사업 — 가격·조달·보관</t>
        </is>
      </c>
      <c r="Y3" s="30" t="inlineStr">
        <is>
          <t>⑤ 규제·시험</t>
        </is>
      </c>
      <c r="AA3" s="30" t="inlineStr">
        <is>
          <t>⑥ 판단 · ⑦ 손 테스트</t>
        </is>
      </c>
      <c r="AE3" s="31" t="inlineStr">
        <is>
          <t>✍ 내 기록(입력)</t>
        </is>
      </c>
    </row>
    <row r="4" ht="30" customHeight="1">
      <c r="A4" s="7" t="inlineStr">
        <is>
          <t>No</t>
        </is>
      </c>
      <c r="B4" s="7" t="inlineStr">
        <is>
          <t>원료</t>
        </is>
      </c>
      <c r="C4" s="7" t="inlineStr">
        <is>
          <t>INCI</t>
        </is>
      </c>
      <c r="D4" s="7" t="inlineStr">
        <is>
          <t>보유</t>
        </is>
      </c>
      <c r="E4" s="7" t="inlineStr">
        <is>
          <t>역할(주)</t>
        </is>
      </c>
      <c r="F4" s="7" t="inlineStr">
        <is>
          <t>보조 역할</t>
        </is>
      </c>
      <c r="G4" s="7" t="inlineStr">
        <is>
          <t>기원</t>
        </is>
      </c>
      <c r="H4" s="7" t="inlineStr">
        <is>
          <t>어디서 얻나(원재료)</t>
        </is>
      </c>
      <c r="I4" s="7" t="inlineStr">
        <is>
          <t>추출·제조·가공</t>
        </is>
      </c>
      <c r="J4" s="7" t="inlineStr">
        <is>
          <t>화학 분류</t>
        </is>
      </c>
      <c r="K4" s="7" t="inlineStr">
        <is>
          <t>형태</t>
        </is>
      </c>
      <c r="L4" s="7" t="inlineStr">
        <is>
          <t>색</t>
        </is>
      </c>
      <c r="M4" s="7" t="inlineStr">
        <is>
          <t>냄새</t>
        </is>
      </c>
      <c r="N4" s="7" t="inlineStr">
        <is>
          <t>용해성</t>
        </is>
      </c>
      <c r="O4" s="7" t="inlineStr">
        <is>
          <t>투입 상·온도</t>
        </is>
      </c>
      <c r="P4" s="7" t="inlineStr">
        <is>
          <t>사용감</t>
        </is>
      </c>
      <c r="Q4" s="7" t="inlineStr">
        <is>
          <t>발림성</t>
        </is>
      </c>
      <c r="R4" s="7" t="inlineStr">
        <is>
          <t>마무리·잔여감</t>
        </is>
      </c>
      <c r="S4" s="7" t="inlineStr">
        <is>
          <t>전형 %</t>
        </is>
      </c>
      <c r="T4" s="7" t="inlineStr">
        <is>
          <t>pH·안정성</t>
        </is>
      </c>
      <c r="U4" s="7" t="inlineStr">
        <is>
          <t>궁합·주의(배합)</t>
        </is>
      </c>
      <c r="V4" s="7" t="inlineStr">
        <is>
          <t>가격대(소량·추정)</t>
        </is>
      </c>
      <c r="W4" s="7" t="inlineStr">
        <is>
          <t>구하기</t>
        </is>
      </c>
      <c r="X4" s="7" t="inlineStr">
        <is>
          <t>보관·유통</t>
        </is>
      </c>
      <c r="Y4" s="7" t="inlineStr">
        <is>
          <t>사용제한·식약처 고시</t>
        </is>
      </c>
      <c r="Z4" s="7" t="inlineStr">
        <is>
          <t>시험 포인트</t>
        </is>
      </c>
      <c r="AA4" s="7" t="inlineStr">
        <is>
          <t>비교 원료</t>
        </is>
      </c>
      <c r="AB4" s="7" t="inlineStr">
        <is>
          <t>고르는 기준(vs 비교)</t>
        </is>
      </c>
      <c r="AC4" s="7" t="inlineStr">
        <is>
          <t>손 테스트 과제(5분)</t>
        </is>
      </c>
      <c r="AD4" s="7" t="inlineStr">
        <is>
          <t>출처</t>
        </is>
      </c>
      <c r="AE4" s="7" t="inlineStr">
        <is>
          <t>손테스트</t>
        </is>
      </c>
      <c r="AF4" s="7" t="inlineStr">
        <is>
          <t>내 관찰 메모</t>
        </is>
      </c>
      <c r="AG4" s="7" t="inlineStr">
        <is>
          <t>숙련도</t>
        </is>
      </c>
    </row>
    <row r="5" ht="92" customHeight="1">
      <c r="A5" s="32" t="n">
        <v>1</v>
      </c>
      <c r="B5" s="33" t="inlineStr">
        <is>
          <t>정제수</t>
        </is>
      </c>
      <c r="C5" s="34" t="inlineStr">
        <is>
          <t>Water</t>
        </is>
      </c>
      <c r="D5" s="35" t="inlineStr">
        <is>
          <t>✓</t>
        </is>
      </c>
      <c r="E5" s="36" t="inlineStr">
        <is>
          <t>용제</t>
        </is>
      </c>
      <c r="F5" s="34" t="inlineStr">
        <is>
          <t>수상 베이스·용해 매체</t>
        </is>
      </c>
      <c r="G5" s="34" t="inlineStr">
        <is>
          <t>합성(정제)</t>
        </is>
      </c>
      <c r="H5" s="34" t="inlineStr">
        <is>
          <t>상수·지하수</t>
        </is>
      </c>
      <c r="I5" s="34" t="inlineStr">
        <is>
          <t>이온교환·역삼투(RO)·UV 살균·0.2µm 필터</t>
        </is>
      </c>
      <c r="J5" s="34" t="inlineStr">
        <is>
          <t>—</t>
        </is>
      </c>
      <c r="K5" s="34" t="inlineStr">
        <is>
          <t>액상</t>
        </is>
      </c>
      <c r="L5" s="34" t="inlineStr">
        <is>
          <t>무색 투명</t>
        </is>
      </c>
      <c r="M5" s="34" t="inlineStr">
        <is>
          <t>무취</t>
        </is>
      </c>
      <c r="N5" s="34" t="inlineStr">
        <is>
          <t>—</t>
        </is>
      </c>
      <c r="O5" s="34" t="inlineStr">
        <is>
          <t>A상, 70~80℃ 가열</t>
        </is>
      </c>
      <c r="P5" s="34" t="inlineStr">
        <is>
          <t>감각 없음 — 산뜻함의 바탕</t>
        </is>
      </c>
      <c r="Q5" s="34" t="inlineStr">
        <is>
          <t>—</t>
        </is>
      </c>
      <c r="R5" s="34" t="inlineStr">
        <is>
          <t>증발하며 시원함</t>
        </is>
      </c>
      <c r="S5" s="34" t="inlineStr">
        <is>
          <t>50~85%</t>
        </is>
      </c>
      <c r="T5" s="34" t="inlineStr">
        <is>
          <t>CO₂ 흡수로 pH 5.5~6.5 나올 수 있음</t>
        </is>
      </c>
      <c r="U5" s="34" t="inlineStr">
        <is>
          <t>미생물 오염 1순위. 개봉 후 빨리, 수돗물·생수 금지</t>
        </is>
      </c>
      <c r="V5" s="34" t="inlineStr">
        <is>
          <t>₩2,000~4,000/1L</t>
        </is>
      </c>
      <c r="W5" s="37" t="inlineStr">
        <is>
          <t>★★★★★</t>
        </is>
      </c>
      <c r="X5" s="34" t="inlineStr">
        <is>
          <t>밀봉·서늘, 개봉 후 단기</t>
        </is>
      </c>
      <c r="Y5" s="34" t="inlineStr">
        <is>
          <t>제한 없음(원료규격: 미생물·중금속)</t>
        </is>
      </c>
      <c r="Z5" s="34" t="inlineStr">
        <is>
          <t>수상 대표 원료, 맞춤형 조제 시 위생 관리</t>
        </is>
      </c>
      <c r="AA5" s="34" t="inlineStr">
        <is>
          <t>하이드로졸(로즈워터)·알로에즙</t>
        </is>
      </c>
      <c r="AB5" s="34" t="inlineStr">
        <is>
          <t>하이드로졸은 향·스토리 ↑ but 미생물↑·방부 부담↑</t>
        </is>
      </c>
      <c r="AC5" s="34" t="inlineStr">
        <is>
          <t>pH 스트립으로 갓 딴 정제수 vs 하루 연 정제수 pH 비교 — 왜 산성 쪽으로 가나?</t>
        </is>
      </c>
      <c r="AD5" s="34" t="inlineStr">
        <is>
          <t>기본</t>
        </is>
      </c>
      <c r="AE5" s="38" t="n"/>
      <c r="AF5" s="39" t="n"/>
      <c r="AG5" s="38" t="n"/>
    </row>
    <row r="6" ht="92" customHeight="1">
      <c r="A6" s="32" t="n">
        <v>2</v>
      </c>
      <c r="B6" s="33" t="inlineStr">
        <is>
          <t>로즈워터(하이드로졸)</t>
        </is>
      </c>
      <c r="C6" s="34" t="inlineStr">
        <is>
          <t>Rosa Damascena Flower Water</t>
        </is>
      </c>
      <c r="D6" s="37" t="inlineStr">
        <is>
          <t>–</t>
        </is>
      </c>
      <c r="E6" s="36" t="inlineStr">
        <is>
          <t>용제</t>
        </is>
      </c>
      <c r="F6" s="34" t="inlineStr">
        <is>
          <t>향·스토리 수상</t>
        </is>
      </c>
      <c r="G6" s="34" t="inlineStr">
        <is>
          <t>식물</t>
        </is>
      </c>
      <c r="H6" s="34" t="inlineStr">
        <is>
          <t>다마스크 장미 꽃</t>
        </is>
      </c>
      <c r="I6" s="34" t="inlineStr">
        <is>
          <t>수증기 증류 시 정유와 함께 나오는 증류수</t>
        </is>
      </c>
      <c r="J6" s="34" t="inlineStr">
        <is>
          <t>꽃수(플로럴워터)</t>
        </is>
      </c>
      <c r="K6" s="34" t="inlineStr">
        <is>
          <t>액상</t>
        </is>
      </c>
      <c r="L6" s="34" t="inlineStr">
        <is>
          <t>무색</t>
        </is>
      </c>
      <c r="M6" s="34" t="inlineStr">
        <is>
          <t>장미향(은은)</t>
        </is>
      </c>
      <c r="N6" s="34" t="inlineStr">
        <is>
          <t>수용성</t>
        </is>
      </c>
      <c r="O6" s="34" t="inlineStr">
        <is>
          <t>A상(정제수 대체) — 가열 시 향 손실</t>
        </is>
      </c>
      <c r="P6" s="34" t="inlineStr">
        <is>
          <t>산뜻</t>
        </is>
      </c>
      <c r="Q6" s="34" t="inlineStr">
        <is>
          <t>—</t>
        </is>
      </c>
      <c r="R6" s="34" t="inlineStr">
        <is>
          <t>—</t>
        </is>
      </c>
      <c r="S6" s="34" t="inlineStr">
        <is>
          <t>10~50%</t>
        </is>
      </c>
      <c r="T6" s="34" t="inlineStr">
        <is>
          <t>미생물 취약 → 방부 필수</t>
        </is>
      </c>
      <c r="U6" s="34" t="inlineStr">
        <is>
          <t>정제수보다 오염 쉬움. 소량 구매·냉장</t>
        </is>
      </c>
      <c r="V6" s="34" t="inlineStr">
        <is>
          <t>₩10,000/250ml</t>
        </is>
      </c>
      <c r="W6" s="37" t="inlineStr">
        <is>
          <t>★★★★★</t>
        </is>
      </c>
      <c r="X6" s="34" t="inlineStr">
        <is>
          <t>냉장</t>
        </is>
      </c>
      <c r="Y6" s="34" t="inlineStr">
        <is>
          <t>제한 없음 (향 성분 표시 고려)</t>
        </is>
      </c>
      <c r="Z6" s="34" t="inlineStr">
        <is>
          <t>—</t>
        </is>
      </c>
      <c r="AA6" s="34" t="inlineStr">
        <is>
          <t>정제수·네롤리워터</t>
        </is>
      </c>
      <c r="AB6" s="34" t="inlineStr">
        <is>
          <t>향·스토리 원하면. 무향 민감 라인엔 X</t>
        </is>
      </c>
      <c r="AC6" s="34" t="inlineStr">
        <is>
          <t>로즈워터 vs 정제수 토너 2개 — 향 지속 비교</t>
        </is>
      </c>
      <c r="AD6" s="34" t="inlineStr">
        <is>
          <t>기본</t>
        </is>
      </c>
      <c r="AE6" s="38" t="n"/>
      <c r="AF6" s="39" t="n"/>
      <c r="AG6" s="38" t="n"/>
    </row>
    <row r="7" ht="92" customHeight="1">
      <c r="A7" s="32" t="n">
        <v>3</v>
      </c>
      <c r="B7" s="33" t="inlineStr">
        <is>
          <t>네롤리워터</t>
        </is>
      </c>
      <c r="C7" s="34" t="inlineStr">
        <is>
          <t>Citrus Aurantium Amara Flower Water</t>
        </is>
      </c>
      <c r="D7" s="37" t="inlineStr">
        <is>
          <t>–</t>
        </is>
      </c>
      <c r="E7" s="36" t="inlineStr">
        <is>
          <t>용제</t>
        </is>
      </c>
      <c r="F7" s="34" t="inlineStr">
        <is>
          <t>향·스토리 수상</t>
        </is>
      </c>
      <c r="G7" s="34" t="inlineStr">
        <is>
          <t>식물</t>
        </is>
      </c>
      <c r="H7" s="34" t="inlineStr">
        <is>
          <t>비터오렌지 꽃</t>
        </is>
      </c>
      <c r="I7" s="34" t="inlineStr">
        <is>
          <t>수증기 증류(네롤리 정유 부산 증류수)</t>
        </is>
      </c>
      <c r="J7" s="34" t="inlineStr">
        <is>
          <t>꽃수</t>
        </is>
      </c>
      <c r="K7" s="34" t="inlineStr">
        <is>
          <t>액상</t>
        </is>
      </c>
      <c r="L7" s="34" t="inlineStr">
        <is>
          <t>무색</t>
        </is>
      </c>
      <c r="M7" s="34" t="inlineStr">
        <is>
          <t>달콤 쌉쌀한 꽃향</t>
        </is>
      </c>
      <c r="N7" s="34" t="inlineStr">
        <is>
          <t>수용성</t>
        </is>
      </c>
      <c r="O7" s="34" t="inlineStr">
        <is>
          <t>A상 대체(가열 시 향 손실 → 냉각상 권장)</t>
        </is>
      </c>
      <c r="P7" s="34" t="inlineStr">
        <is>
          <t>산뜻</t>
        </is>
      </c>
      <c r="Q7" s="34" t="inlineStr">
        <is>
          <t>—</t>
        </is>
      </c>
      <c r="R7" s="34" t="inlineStr">
        <is>
          <t>—</t>
        </is>
      </c>
      <c r="S7" s="34" t="inlineStr">
        <is>
          <t>10~50%</t>
        </is>
      </c>
      <c r="T7" s="34" t="inlineStr">
        <is>
          <t>미생물 취약</t>
        </is>
      </c>
      <c r="U7" s="34" t="inlineStr">
        <is>
          <t>정제수보다 오염 쉬움 → 방부 필수·냉장</t>
        </is>
      </c>
      <c r="V7" s="34" t="inlineStr">
        <is>
          <t>₩10,000/250ml</t>
        </is>
      </c>
      <c r="W7" s="37" t="inlineStr">
        <is>
          <t>★★★★★</t>
        </is>
      </c>
      <c r="X7" s="34" t="inlineStr">
        <is>
          <t>냉장</t>
        </is>
      </c>
      <c r="Y7" s="34" t="inlineStr">
        <is>
          <t>제한 없음 (향 성분 표시 고려)</t>
        </is>
      </c>
      <c r="Z7" s="34" t="inlineStr">
        <is>
          <t>—</t>
        </is>
      </c>
      <c r="AA7" s="34" t="inlineStr">
        <is>
          <t>로즈워터·라벤더워터</t>
        </is>
      </c>
      <c r="AB7" s="34" t="inlineStr">
        <is>
          <t>허브누리 2위 수상. 고급 플로럴 무드</t>
        </is>
      </c>
      <c r="AC7" s="34" t="inlineStr">
        <is>
          <t>네롤리워터 vs 로즈워터 향 맡고 기록</t>
        </is>
      </c>
      <c r="AD7" s="34" t="inlineStr">
        <is>
          <t>허브누리</t>
        </is>
      </c>
      <c r="AE7" s="38" t="n"/>
      <c r="AF7" s="39" t="n"/>
      <c r="AG7" s="38" t="n"/>
    </row>
    <row r="8" ht="92" customHeight="1">
      <c r="A8" s="32" t="n">
        <v>4</v>
      </c>
      <c r="B8" s="33" t="inlineStr">
        <is>
          <t>라벤더워터</t>
        </is>
      </c>
      <c r="C8" s="34" t="inlineStr">
        <is>
          <t>Lavandula Angustifolia Flower Water</t>
        </is>
      </c>
      <c r="D8" s="37" t="inlineStr">
        <is>
          <t>–</t>
        </is>
      </c>
      <c r="E8" s="36" t="inlineStr">
        <is>
          <t>용제</t>
        </is>
      </c>
      <c r="F8" s="34" t="inlineStr">
        <is>
          <t>향·진정 무드</t>
        </is>
      </c>
      <c r="G8" s="34" t="inlineStr">
        <is>
          <t>식물</t>
        </is>
      </c>
      <c r="H8" s="34" t="inlineStr">
        <is>
          <t>라벤더 꽃</t>
        </is>
      </c>
      <c r="I8" s="34" t="inlineStr">
        <is>
          <t>수증기 증류</t>
        </is>
      </c>
      <c r="J8" s="34" t="inlineStr">
        <is>
          <t>꽃수</t>
        </is>
      </c>
      <c r="K8" s="34" t="inlineStr">
        <is>
          <t>액상</t>
        </is>
      </c>
      <c r="L8" s="34" t="inlineStr">
        <is>
          <t>무색</t>
        </is>
      </c>
      <c r="M8" s="34" t="inlineStr">
        <is>
          <t>허브 꽃향</t>
        </is>
      </c>
      <c r="N8" s="34" t="inlineStr">
        <is>
          <t>수용성</t>
        </is>
      </c>
      <c r="O8" s="34" t="inlineStr">
        <is>
          <t>냉각상 권장</t>
        </is>
      </c>
      <c r="P8" s="34" t="inlineStr">
        <is>
          <t>산뜻</t>
        </is>
      </c>
      <c r="Q8" s="34" t="inlineStr">
        <is>
          <t>—</t>
        </is>
      </c>
      <c r="R8" s="34" t="inlineStr">
        <is>
          <t>—</t>
        </is>
      </c>
      <c r="S8" s="34" t="inlineStr">
        <is>
          <t>10~50%</t>
        </is>
      </c>
      <c r="T8" s="34" t="inlineStr">
        <is>
          <t>미생물 취약</t>
        </is>
      </c>
      <c r="U8" s="34" t="inlineStr">
        <is>
          <t>—</t>
        </is>
      </c>
      <c r="V8" s="34" t="inlineStr">
        <is>
          <t>₩8,000/250ml</t>
        </is>
      </c>
      <c r="W8" s="37" t="inlineStr">
        <is>
          <t>★★★★★</t>
        </is>
      </c>
      <c r="X8" s="34" t="inlineStr">
        <is>
          <t>냉장</t>
        </is>
      </c>
      <c r="Y8" s="34" t="inlineStr">
        <is>
          <t>제한 없음</t>
        </is>
      </c>
      <c r="Z8" s="34" t="inlineStr">
        <is>
          <t>—</t>
        </is>
      </c>
      <c r="AA8" s="34" t="inlineStr">
        <is>
          <t>캐모마일워터</t>
        </is>
      </c>
      <c r="AB8" s="34" t="inlineStr">
        <is>
          <t>무난한 진정 무드 수상</t>
        </is>
      </c>
      <c r="AC8" s="34" t="inlineStr">
        <is>
          <t>—</t>
        </is>
      </c>
      <c r="AD8" s="34" t="inlineStr">
        <is>
          <t>허브누리</t>
        </is>
      </c>
      <c r="AE8" s="38" t="n"/>
      <c r="AF8" s="39" t="n"/>
      <c r="AG8" s="38" t="n"/>
    </row>
    <row r="9" ht="92" customHeight="1">
      <c r="A9" s="32" t="n">
        <v>5</v>
      </c>
      <c r="B9" s="33" t="inlineStr">
        <is>
          <t>로먼캐모마일워터</t>
        </is>
      </c>
      <c r="C9" s="34" t="inlineStr">
        <is>
          <t>Anthemis Nobilis Flower Water</t>
        </is>
      </c>
      <c r="D9" s="37" t="inlineStr">
        <is>
          <t>–</t>
        </is>
      </c>
      <c r="E9" s="36" t="inlineStr">
        <is>
          <t>용제</t>
        </is>
      </c>
      <c r="F9" s="34" t="inlineStr">
        <is>
          <t>진정 무드</t>
        </is>
      </c>
      <c r="G9" s="34" t="inlineStr">
        <is>
          <t>식물</t>
        </is>
      </c>
      <c r="H9" s="34" t="inlineStr">
        <is>
          <t>로먼 캐모마일 꽃</t>
        </is>
      </c>
      <c r="I9" s="34" t="inlineStr">
        <is>
          <t>수증기 증류</t>
        </is>
      </c>
      <c r="J9" s="34" t="inlineStr">
        <is>
          <t>꽃수</t>
        </is>
      </c>
      <c r="K9" s="34" t="inlineStr">
        <is>
          <t>액상</t>
        </is>
      </c>
      <c r="L9" s="34" t="inlineStr">
        <is>
          <t>무색</t>
        </is>
      </c>
      <c r="M9" s="34" t="inlineStr">
        <is>
          <t>사과 같은 허브향</t>
        </is>
      </c>
      <c r="N9" s="34" t="inlineStr">
        <is>
          <t>수용성</t>
        </is>
      </c>
      <c r="O9" s="34" t="inlineStr">
        <is>
          <t>냉각상 권장</t>
        </is>
      </c>
      <c r="P9" s="34" t="inlineStr">
        <is>
          <t>산뜻</t>
        </is>
      </c>
      <c r="Q9" s="34" t="inlineStr">
        <is>
          <t>—</t>
        </is>
      </c>
      <c r="R9" s="34" t="inlineStr">
        <is>
          <t>—</t>
        </is>
      </c>
      <c r="S9" s="34" t="inlineStr">
        <is>
          <t>10~50%</t>
        </is>
      </c>
      <c r="T9" s="34" t="inlineStr">
        <is>
          <t>미생물 취약</t>
        </is>
      </c>
      <c r="U9" s="34" t="inlineStr">
        <is>
          <t>국화과 알레르기 주의</t>
        </is>
      </c>
      <c r="V9" s="34" t="inlineStr">
        <is>
          <t>₩10,000/250ml</t>
        </is>
      </c>
      <c r="W9" s="37" t="inlineStr">
        <is>
          <t>★★★★☆</t>
        </is>
      </c>
      <c r="X9" s="34" t="inlineStr">
        <is>
          <t>냉장</t>
        </is>
      </c>
      <c r="Y9" s="34" t="inlineStr">
        <is>
          <t>제한 없음</t>
        </is>
      </c>
      <c r="Z9" s="34" t="inlineStr">
        <is>
          <t>—</t>
        </is>
      </c>
      <c r="AA9" s="34" t="inlineStr">
        <is>
          <t>라벤더워터</t>
        </is>
      </c>
      <c r="AB9" s="34" t="inlineStr">
        <is>
          <t>예민 피부 무드</t>
        </is>
      </c>
      <c r="AC9" s="34" t="inlineStr">
        <is>
          <t>—</t>
        </is>
      </c>
      <c r="AD9" s="34" t="inlineStr">
        <is>
          <t>허브누리</t>
        </is>
      </c>
      <c r="AE9" s="38" t="n"/>
      <c r="AF9" s="39" t="n"/>
      <c r="AG9" s="38" t="n"/>
    </row>
    <row r="10" ht="92" customHeight="1">
      <c r="A10" s="32" t="n">
        <v>6</v>
      </c>
      <c r="B10" s="33" t="inlineStr">
        <is>
          <t>로즈마리워터</t>
        </is>
      </c>
      <c r="C10" s="34" t="inlineStr">
        <is>
          <t>Rosmarinus Officinalis Leaf Water</t>
        </is>
      </c>
      <c r="D10" s="37" t="inlineStr">
        <is>
          <t>–</t>
        </is>
      </c>
      <c r="E10" s="36" t="inlineStr">
        <is>
          <t>용제</t>
        </is>
      </c>
      <c r="F10" s="34" t="inlineStr">
        <is>
          <t>상쾌·두피 무드</t>
        </is>
      </c>
      <c r="G10" s="34" t="inlineStr">
        <is>
          <t>식물</t>
        </is>
      </c>
      <c r="H10" s="34" t="inlineStr">
        <is>
          <t>로즈마리 잎</t>
        </is>
      </c>
      <c r="I10" s="34" t="inlineStr">
        <is>
          <t>수증기 증류</t>
        </is>
      </c>
      <c r="J10" s="34" t="inlineStr">
        <is>
          <t>꽃수(잎수)</t>
        </is>
      </c>
      <c r="K10" s="34" t="inlineStr">
        <is>
          <t>액상</t>
        </is>
      </c>
      <c r="L10" s="34" t="inlineStr">
        <is>
          <t>무색</t>
        </is>
      </c>
      <c r="M10" s="34" t="inlineStr">
        <is>
          <t>캠퍼성 허브향</t>
        </is>
      </c>
      <c r="N10" s="34" t="inlineStr">
        <is>
          <t>수용성</t>
        </is>
      </c>
      <c r="O10" s="34" t="inlineStr">
        <is>
          <t>냉각상 권장</t>
        </is>
      </c>
      <c r="P10" s="34" t="inlineStr">
        <is>
          <t>청량</t>
        </is>
      </c>
      <c r="Q10" s="34" t="inlineStr">
        <is>
          <t>—</t>
        </is>
      </c>
      <c r="R10" s="34" t="inlineStr">
        <is>
          <t>—</t>
        </is>
      </c>
      <c r="S10" s="34" t="inlineStr">
        <is>
          <t>10~60%</t>
        </is>
      </c>
      <c r="T10" s="34" t="inlineStr">
        <is>
          <t>미생물 취약</t>
        </is>
      </c>
      <c r="U10" s="34" t="inlineStr">
        <is>
          <t>—</t>
        </is>
      </c>
      <c r="V10" s="34" t="inlineStr">
        <is>
          <t>₩8,000/250ml</t>
        </is>
      </c>
      <c r="W10" s="37" t="inlineStr">
        <is>
          <t>★★★★☆</t>
        </is>
      </c>
      <c r="X10" s="34" t="inlineStr">
        <is>
          <t>냉장</t>
        </is>
      </c>
      <c r="Y10" s="34" t="inlineStr">
        <is>
          <t>제한 없음</t>
        </is>
      </c>
      <c r="Z10" s="34" t="inlineStr">
        <is>
          <t>—</t>
        </is>
      </c>
      <c r="AA10" s="34" t="inlineStr">
        <is>
          <t>티트리워터·편백워터</t>
        </is>
      </c>
      <c r="AB10" s="34" t="inlineStr">
        <is>
          <t>두피·지성 라인 수상</t>
        </is>
      </c>
      <c r="AC10" s="34" t="inlineStr">
        <is>
          <t>—</t>
        </is>
      </c>
      <c r="AD10" s="34" t="inlineStr">
        <is>
          <t>허브누리</t>
        </is>
      </c>
      <c r="AE10" s="38" t="n"/>
      <c r="AF10" s="39" t="n"/>
      <c r="AG10" s="38" t="n"/>
    </row>
    <row r="11" ht="92" customHeight="1">
      <c r="A11" s="32" t="n">
        <v>7</v>
      </c>
      <c r="B11" s="33" t="inlineStr">
        <is>
          <t>편백워터</t>
        </is>
      </c>
      <c r="C11" s="34" t="inlineStr">
        <is>
          <t>Chamaecyparis Obtusa Water</t>
        </is>
      </c>
      <c r="D11" s="37" t="inlineStr">
        <is>
          <t>–</t>
        </is>
      </c>
      <c r="E11" s="36" t="inlineStr">
        <is>
          <t>용제</t>
        </is>
      </c>
      <c r="F11" s="34" t="inlineStr">
        <is>
          <t>피톤치드 무드</t>
        </is>
      </c>
      <c r="G11" s="34" t="inlineStr">
        <is>
          <t>식물</t>
        </is>
      </c>
      <c r="H11" s="34" t="inlineStr">
        <is>
          <t>편백나무 잎·줄기</t>
        </is>
      </c>
      <c r="I11" s="34" t="inlineStr">
        <is>
          <t>수증기 증류</t>
        </is>
      </c>
      <c r="J11" s="34" t="inlineStr">
        <is>
          <t>목질 하이드로졸</t>
        </is>
      </c>
      <c r="K11" s="34" t="inlineStr">
        <is>
          <t>액상</t>
        </is>
      </c>
      <c r="L11" s="34" t="inlineStr">
        <is>
          <t>무색</t>
        </is>
      </c>
      <c r="M11" s="34" t="inlineStr">
        <is>
          <t>숲·나무향</t>
        </is>
      </c>
      <c r="N11" s="34" t="inlineStr">
        <is>
          <t>수용성</t>
        </is>
      </c>
      <c r="O11" s="34" t="inlineStr">
        <is>
          <t>냉각상</t>
        </is>
      </c>
      <c r="P11" s="34" t="inlineStr">
        <is>
          <t>산뜻</t>
        </is>
      </c>
      <c r="Q11" s="34" t="inlineStr">
        <is>
          <t>—</t>
        </is>
      </c>
      <c r="R11" s="34" t="inlineStr">
        <is>
          <t>—</t>
        </is>
      </c>
      <c r="S11" s="34" t="inlineStr">
        <is>
          <t>10~50%</t>
        </is>
      </c>
      <c r="T11" s="34" t="inlineStr">
        <is>
          <t>미생물 취약</t>
        </is>
      </c>
      <c r="U11" s="34" t="inlineStr">
        <is>
          <t>국내산 스토리</t>
        </is>
      </c>
      <c r="V11" s="34" t="inlineStr">
        <is>
          <t>₩8,000/500ml</t>
        </is>
      </c>
      <c r="W11" s="37" t="inlineStr">
        <is>
          <t>★★★★☆</t>
        </is>
      </c>
      <c r="X11" s="34" t="inlineStr">
        <is>
          <t>서늘</t>
        </is>
      </c>
      <c r="Y11" s="34" t="inlineStr">
        <is>
          <t>제한 없음</t>
        </is>
      </c>
      <c r="Z11" s="34" t="inlineStr">
        <is>
          <t>—</t>
        </is>
      </c>
      <c r="AA11" s="34" t="inlineStr">
        <is>
          <t>티트리워터</t>
        </is>
      </c>
      <c r="AB11" s="34" t="inlineStr">
        <is>
          <t>K-로컬 숲 스토리</t>
        </is>
      </c>
      <c r="AC11" s="34" t="inlineStr">
        <is>
          <t>—</t>
        </is>
      </c>
      <c r="AD11" s="34" t="inlineStr">
        <is>
          <t>허브누리</t>
        </is>
      </c>
      <c r="AE11" s="38" t="n"/>
      <c r="AF11" s="39" t="n"/>
      <c r="AG11" s="38" t="n"/>
    </row>
    <row r="12" ht="92" customHeight="1">
      <c r="A12" s="32" t="n">
        <v>8</v>
      </c>
      <c r="B12" s="33" t="inlineStr">
        <is>
          <t>티트리워터</t>
        </is>
      </c>
      <c r="C12" s="34" t="inlineStr">
        <is>
          <t>Melaleuca Alternifolia Leaf Water</t>
        </is>
      </c>
      <c r="D12" s="37" t="inlineStr">
        <is>
          <t>–</t>
        </is>
      </c>
      <c r="E12" s="36" t="inlineStr">
        <is>
          <t>용제</t>
        </is>
      </c>
      <c r="F12" s="34" t="inlineStr">
        <is>
          <t>지성·트러블 무드</t>
        </is>
      </c>
      <c r="G12" s="34" t="inlineStr">
        <is>
          <t>식물</t>
        </is>
      </c>
      <c r="H12" s="34" t="inlineStr">
        <is>
          <t>티트리 잎</t>
        </is>
      </c>
      <c r="I12" s="34" t="inlineStr">
        <is>
          <t>수증기 증류</t>
        </is>
      </c>
      <c r="J12" s="34" t="inlineStr">
        <is>
          <t>잎수</t>
        </is>
      </c>
      <c r="K12" s="34" t="inlineStr">
        <is>
          <t>액상</t>
        </is>
      </c>
      <c r="L12" s="34" t="inlineStr">
        <is>
          <t>무색</t>
        </is>
      </c>
      <c r="M12" s="34" t="inlineStr">
        <is>
          <t>약용 허브향</t>
        </is>
      </c>
      <c r="N12" s="34" t="inlineStr">
        <is>
          <t>수용성</t>
        </is>
      </c>
      <c r="O12" s="34" t="inlineStr">
        <is>
          <t>냉각상</t>
        </is>
      </c>
      <c r="P12" s="34" t="inlineStr">
        <is>
          <t>청량</t>
        </is>
      </c>
      <c r="Q12" s="34" t="inlineStr">
        <is>
          <t>—</t>
        </is>
      </c>
      <c r="R12" s="34" t="inlineStr">
        <is>
          <t>—</t>
        </is>
      </c>
      <c r="S12" s="34" t="inlineStr">
        <is>
          <t>10~50%</t>
        </is>
      </c>
      <c r="T12" s="34" t="inlineStr">
        <is>
          <t>미생물 취약</t>
        </is>
      </c>
      <c r="U12" s="34" t="inlineStr">
        <is>
          <t>'여드름 치료' 표방 금지</t>
        </is>
      </c>
      <c r="V12" s="34" t="inlineStr">
        <is>
          <t>₩8,000/250ml</t>
        </is>
      </c>
      <c r="W12" s="37" t="inlineStr">
        <is>
          <t>★★★★☆</t>
        </is>
      </c>
      <c r="X12" s="34" t="inlineStr">
        <is>
          <t>냉장</t>
        </is>
      </c>
      <c r="Y12" s="34" t="inlineStr">
        <is>
          <t>제한 없음</t>
        </is>
      </c>
      <c r="Z12" s="34" t="inlineStr">
        <is>
          <t>—</t>
        </is>
      </c>
      <c r="AA12" s="34" t="inlineStr">
        <is>
          <t>로즈마리워터·위치하젤워터</t>
        </is>
      </c>
      <c r="AB12" s="34" t="inlineStr">
        <is>
          <t>트러블 라인 무드</t>
        </is>
      </c>
      <c r="AC12" s="34" t="inlineStr">
        <is>
          <t>—</t>
        </is>
      </c>
      <c r="AD12" s="34" t="inlineStr">
        <is>
          <t>허브누리</t>
        </is>
      </c>
      <c r="AE12" s="38" t="n"/>
      <c r="AF12" s="39" t="n"/>
      <c r="AG12" s="38" t="n"/>
    </row>
    <row r="13" ht="92" customHeight="1">
      <c r="A13" s="32" t="n">
        <v>9</v>
      </c>
      <c r="B13" s="33" t="inlineStr">
        <is>
          <t>위치하젤워터</t>
        </is>
      </c>
      <c r="C13" s="34" t="inlineStr">
        <is>
          <t>Hamamelis Virginiana Water</t>
        </is>
      </c>
      <c r="D13" s="37" t="inlineStr">
        <is>
          <t>–</t>
        </is>
      </c>
      <c r="E13" s="36" t="inlineStr">
        <is>
          <t>용제</t>
        </is>
      </c>
      <c r="F13" s="34" t="inlineStr">
        <is>
          <t>수렴·모공 무드</t>
        </is>
      </c>
      <c r="G13" s="34" t="inlineStr">
        <is>
          <t>식물</t>
        </is>
      </c>
      <c r="H13" s="34" t="inlineStr">
        <is>
          <t>위치하젤 나무 잎·가지</t>
        </is>
      </c>
      <c r="I13" s="34" t="inlineStr">
        <is>
          <t>수증기 증류(일부 에탄올 함유 제품)</t>
        </is>
      </c>
      <c r="J13" s="34" t="inlineStr">
        <is>
          <t>하이드로졸(탄닌)</t>
        </is>
      </c>
      <c r="K13" s="34" t="inlineStr">
        <is>
          <t>액상</t>
        </is>
      </c>
      <c r="L13" s="34" t="inlineStr">
        <is>
          <t>무색</t>
        </is>
      </c>
      <c r="M13" s="34" t="inlineStr">
        <is>
          <t>약한 나무향</t>
        </is>
      </c>
      <c r="N13" s="34" t="inlineStr">
        <is>
          <t>수용성</t>
        </is>
      </c>
      <c r="O13" s="34" t="inlineStr">
        <is>
          <t>냉각상</t>
        </is>
      </c>
      <c r="P13" s="34" t="inlineStr">
        <is>
          <t>산뜻·약간 조임</t>
        </is>
      </c>
      <c r="Q13" s="34" t="inlineStr">
        <is>
          <t>—</t>
        </is>
      </c>
      <c r="R13" s="34" t="inlineStr">
        <is>
          <t>—</t>
        </is>
      </c>
      <c r="S13" s="34" t="inlineStr">
        <is>
          <t>10~50%</t>
        </is>
      </c>
      <c r="T13" s="34" t="inlineStr">
        <is>
          <t>미생물 취약</t>
        </is>
      </c>
      <c r="U13" s="34" t="inlineStr">
        <is>
          <t>에탄올 함유 여부 전성분 확인(건조감)</t>
        </is>
      </c>
      <c r="V13" s="34" t="inlineStr">
        <is>
          <t>₩10,000/250ml</t>
        </is>
      </c>
      <c r="W13" s="37" t="inlineStr">
        <is>
          <t>★★★☆☆</t>
        </is>
      </c>
      <c r="X13" s="34" t="inlineStr">
        <is>
          <t>서늘</t>
        </is>
      </c>
      <c r="Y13" s="34" t="inlineStr">
        <is>
          <t>제한 없음</t>
        </is>
      </c>
      <c r="Z13" s="34" t="inlineStr">
        <is>
          <t>—</t>
        </is>
      </c>
      <c r="AA13" s="34" t="inlineStr">
        <is>
          <t>티트리워터</t>
        </is>
      </c>
      <c r="AB13" s="34" t="inlineStr">
        <is>
          <t>수렴 토너 무드</t>
        </is>
      </c>
      <c r="AC13" s="34" t="inlineStr">
        <is>
          <t>—</t>
        </is>
      </c>
      <c r="AD13" s="34" t="inlineStr">
        <is>
          <t>허브누리</t>
        </is>
      </c>
      <c r="AE13" s="38" t="n"/>
      <c r="AF13" s="39" t="n"/>
      <c r="AG13" s="38" t="n"/>
    </row>
    <row r="14" ht="92" customHeight="1">
      <c r="A14" s="32" t="n">
        <v>10</v>
      </c>
      <c r="B14" s="33" t="inlineStr">
        <is>
          <t>일랑일랑워터</t>
        </is>
      </c>
      <c r="C14" s="34" t="inlineStr">
        <is>
          <t>Cananga Odorata Flower Water</t>
        </is>
      </c>
      <c r="D14" s="37" t="inlineStr">
        <is>
          <t>–</t>
        </is>
      </c>
      <c r="E14" s="36" t="inlineStr">
        <is>
          <t>용제</t>
        </is>
      </c>
      <c r="F14" s="34" t="inlineStr">
        <is>
          <t>향·스토리 수상(이국적 플로럴)</t>
        </is>
      </c>
      <c r="G14" s="34" t="inlineStr">
        <is>
          <t>식물</t>
        </is>
      </c>
      <c r="H14" s="34" t="inlineStr">
        <is>
          <t>일랑일랑 꽃</t>
        </is>
      </c>
      <c r="I14" s="34" t="inlineStr">
        <is>
          <t>수증기 증류(정유 증류 시 나오는 증류수)</t>
        </is>
      </c>
      <c r="J14" s="34" t="inlineStr">
        <is>
          <t>꽃수</t>
        </is>
      </c>
      <c r="K14" s="34" t="inlineStr">
        <is>
          <t>액상</t>
        </is>
      </c>
      <c r="L14" s="34" t="inlineStr">
        <is>
          <t>무색</t>
        </is>
      </c>
      <c r="M14" s="34" t="inlineStr">
        <is>
          <t>진하고 달콤한 꽃향(EO보다 약함)</t>
        </is>
      </c>
      <c r="N14" s="34" t="inlineStr">
        <is>
          <t>수용성</t>
        </is>
      </c>
      <c r="O14" s="34" t="inlineStr">
        <is>
          <t>냉각상 권장(가열 시 향 손실)</t>
        </is>
      </c>
      <c r="P14" s="34" t="inlineStr">
        <is>
          <t>산뜻</t>
        </is>
      </c>
      <c r="Q14" s="34" t="inlineStr">
        <is>
          <t>—</t>
        </is>
      </c>
      <c r="R14" s="34" t="inlineStr">
        <is>
          <t>—</t>
        </is>
      </c>
      <c r="S14" s="34" t="inlineStr">
        <is>
          <t>10~50% (토너는 정제수 대체)</t>
        </is>
      </c>
      <c r="T14" s="34" t="inlineStr">
        <is>
          <t>미생물 취약</t>
        </is>
      </c>
      <c r="U14" s="34" t="inlineStr">
        <is>
          <t>향이 강해 다른 꽃수와 블렌드하면 무난. 방부 필수</t>
        </is>
      </c>
      <c r="V14" s="34" t="inlineStr">
        <is>
          <t>₩10,000/250ml</t>
        </is>
      </c>
      <c r="W14" s="37" t="inlineStr">
        <is>
          <t>★★★★☆</t>
        </is>
      </c>
      <c r="X14" s="34" t="inlineStr">
        <is>
          <t>냉장·차광</t>
        </is>
      </c>
      <c r="Y14" s="34" t="inlineStr">
        <is>
          <t>제한 없음 (향 성분 표시 고려)</t>
        </is>
      </c>
      <c r="Z14" s="34" t="inlineStr">
        <is>
          <t>—</t>
        </is>
      </c>
      <c r="AA14" s="34" t="inlineStr">
        <is>
          <t>네롤리워터·로즈워터</t>
        </is>
      </c>
      <c r="AB14" s="34" t="inlineStr">
        <is>
          <t>'피지 균형' 문구는 마케팅 — 실제론 향·무드 수상</t>
        </is>
      </c>
      <c r="AC14" s="34" t="inlineStr">
        <is>
          <t>일랑일랑워터 vs 네롤리워터 — 시향지에 묻혀 10분 뒤 남는 향 비교</t>
        </is>
      </c>
      <c r="AD14" s="34" t="inlineStr">
        <is>
          <t>허브누리</t>
        </is>
      </c>
      <c r="AE14" s="38" t="n"/>
      <c r="AF14" s="39" t="n"/>
      <c r="AG14" s="38" t="n"/>
    </row>
    <row r="15" ht="92" customHeight="1">
      <c r="A15" s="32" t="n">
        <v>11</v>
      </c>
      <c r="B15" s="33" t="inlineStr">
        <is>
          <t>레몬밤워터</t>
        </is>
      </c>
      <c r="C15" s="34" t="inlineStr">
        <is>
          <t>Melissa Officinalis Leaf Water</t>
        </is>
      </c>
      <c r="D15" s="37" t="inlineStr">
        <is>
          <t>–</t>
        </is>
      </c>
      <c r="E15" s="36" t="inlineStr">
        <is>
          <t>용제</t>
        </is>
      </c>
      <c r="F15" s="34" t="inlineStr">
        <is>
          <t>진정 무드·상쾌 수상</t>
        </is>
      </c>
      <c r="G15" s="34" t="inlineStr">
        <is>
          <t>식물</t>
        </is>
      </c>
      <c r="H15" s="34" t="inlineStr">
        <is>
          <t>레몬밤(멜리사) 잎</t>
        </is>
      </c>
      <c r="I15" s="34" t="inlineStr">
        <is>
          <t>수증기 증류</t>
        </is>
      </c>
      <c r="J15" s="34" t="inlineStr">
        <is>
          <t>잎수(하이드로졸)</t>
        </is>
      </c>
      <c r="K15" s="34" t="inlineStr">
        <is>
          <t>액상</t>
        </is>
      </c>
      <c r="L15" s="34" t="inlineStr">
        <is>
          <t>무색</t>
        </is>
      </c>
      <c r="M15" s="34" t="inlineStr">
        <is>
          <t>레몬 같은 허브향(약함)</t>
        </is>
      </c>
      <c r="N15" s="34" t="inlineStr">
        <is>
          <t>수용성</t>
        </is>
      </c>
      <c r="O15" s="34" t="inlineStr">
        <is>
          <t>냉각상</t>
        </is>
      </c>
      <c r="P15" s="34" t="inlineStr">
        <is>
          <t>산뜻·청량</t>
        </is>
      </c>
      <c r="Q15" s="34" t="inlineStr">
        <is>
          <t>—</t>
        </is>
      </c>
      <c r="R15" s="34" t="inlineStr">
        <is>
          <t>—</t>
        </is>
      </c>
      <c r="S15" s="34" t="inlineStr">
        <is>
          <t>10~50%</t>
        </is>
      </c>
      <c r="T15" s="34" t="inlineStr">
        <is>
          <t>미생물 취약</t>
        </is>
      </c>
      <c r="U15" s="34" t="inlineStr">
        <is>
          <t>멜리사 EO는 매우 비싸고 위조 많음 → 워터로 스토리만 가져오는 경우 많음</t>
        </is>
      </c>
      <c r="V15" s="34" t="inlineStr">
        <is>
          <t>₩10,000/250ml</t>
        </is>
      </c>
      <c r="W15" s="37" t="inlineStr">
        <is>
          <t>★★★☆☆</t>
        </is>
      </c>
      <c r="X15" s="34" t="inlineStr">
        <is>
          <t>냉장</t>
        </is>
      </c>
      <c r="Y15" s="34" t="inlineStr">
        <is>
          <t>제한 없음</t>
        </is>
      </c>
      <c r="Z15" s="34" t="inlineStr">
        <is>
          <t>—</t>
        </is>
      </c>
      <c r="AA15" s="34" t="inlineStr">
        <is>
          <t>라벤더워터·로먼캐모마일워터</t>
        </is>
      </c>
      <c r="AB15" s="34" t="inlineStr">
        <is>
          <t>레몬향 무드인데 시트러스 광독성 걱정 없음</t>
        </is>
      </c>
      <c r="AC15" s="34" t="inlineStr">
        <is>
          <t>레몬밤워터 vs 레몬EO 1방울 물 — 향 결이 어떻게 다른지</t>
        </is>
      </c>
      <c r="AD15" s="34" t="inlineStr">
        <is>
          <t>허브누리</t>
        </is>
      </c>
      <c r="AE15" s="38" t="n"/>
      <c r="AF15" s="39" t="n"/>
      <c r="AG15" s="38" t="n"/>
    </row>
    <row r="16" ht="92" customHeight="1">
      <c r="A16" s="32" t="n">
        <v>12</v>
      </c>
      <c r="B16" s="33" t="inlineStr">
        <is>
          <t>비타민 나무 워터</t>
        </is>
      </c>
      <c r="C16" s="34" t="inlineStr">
        <is>
          <t>Hippophae Rhamnoides Fruit Water</t>
        </is>
      </c>
      <c r="D16" s="37" t="inlineStr">
        <is>
          <t>–</t>
        </is>
      </c>
      <c r="E16" s="36" t="inlineStr">
        <is>
          <t>용제</t>
        </is>
      </c>
      <c r="F16" s="34" t="inlineStr">
        <is>
          <t>비타민 스토리 수상</t>
        </is>
      </c>
      <c r="G16" s="34" t="inlineStr">
        <is>
          <t>식물</t>
        </is>
      </c>
      <c r="H16" s="34" t="inlineStr">
        <is>
          <t>비타민나무(씨벅턴) 열매</t>
        </is>
      </c>
      <c r="I16" s="34" t="inlineStr">
        <is>
          <t>열매 증류(증류수) — 오일·과즙과 다른 부분</t>
        </is>
      </c>
      <c r="J16" s="34" t="inlineStr">
        <is>
          <t>과실 증류수</t>
        </is>
      </c>
      <c r="K16" s="34" t="inlineStr">
        <is>
          <t>액상</t>
        </is>
      </c>
      <c r="L16" s="34" t="inlineStr">
        <is>
          <t>무색~미황</t>
        </is>
      </c>
      <c r="M16" s="34" t="inlineStr">
        <is>
          <t>약한 새콤 과일취</t>
        </is>
      </c>
      <c r="N16" s="34" t="inlineStr">
        <is>
          <t>수용성</t>
        </is>
      </c>
      <c r="O16" s="34" t="inlineStr">
        <is>
          <t>냉각상</t>
        </is>
      </c>
      <c r="P16" s="34" t="inlineStr">
        <is>
          <t>산뜻</t>
        </is>
      </c>
      <c r="Q16" s="34" t="inlineStr">
        <is>
          <t>—</t>
        </is>
      </c>
      <c r="R16" s="34" t="inlineStr">
        <is>
          <t>—</t>
        </is>
      </c>
      <c r="S16" s="34" t="inlineStr">
        <is>
          <t>30~80%</t>
        </is>
      </c>
      <c r="T16" s="34" t="inlineStr">
        <is>
          <t>미생물 취약</t>
        </is>
      </c>
      <c r="U16" s="34" t="inlineStr">
        <is>
          <t>★ 증류수엔 비타민C가 거의 안 넘어옴(비휘발성) → '비타민C 함유' 광고 근거 약함</t>
        </is>
      </c>
      <c r="V16" s="34" t="inlineStr">
        <is>
          <t>₩10,000/250ml</t>
        </is>
      </c>
      <c r="W16" s="37" t="inlineStr">
        <is>
          <t>★★★☆☆</t>
        </is>
      </c>
      <c r="X16" s="34" t="inlineStr">
        <is>
          <t>냉장</t>
        </is>
      </c>
      <c r="Y16" s="34" t="inlineStr">
        <is>
          <t>제한 없음</t>
        </is>
      </c>
      <c r="Z16" s="34" t="inlineStr">
        <is>
          <t>원료 '스토리'와 실제 성분 구분 사례</t>
        </is>
      </c>
      <c r="AA16" s="34" t="inlineStr">
        <is>
          <t>씨벅턴오일(CO₂)·순수 비타민C</t>
        </is>
      </c>
      <c r="AB16" s="34" t="inlineStr">
        <is>
          <t>씨벅턴의 진짜 성분은 오일(카로티노이드)에 있음 — 워터는 무드</t>
        </is>
      </c>
      <c r="AC16" s="34" t="inlineStr">
        <is>
          <t>(공부) 씨벅턴오일 카드와 비교: 열매 하나에서 오일·워터·과즙이 각각 무엇을 담는지 적기</t>
        </is>
      </c>
      <c r="AD16" s="34" t="inlineStr">
        <is>
          <t>허브누리</t>
        </is>
      </c>
      <c r="AE16" s="38" t="n"/>
      <c r="AF16" s="39" t="n"/>
      <c r="AG16" s="38" t="n"/>
    </row>
    <row r="17" ht="92" customHeight="1">
      <c r="A17" s="32" t="n">
        <v>13</v>
      </c>
      <c r="B17" s="33" t="inlineStr">
        <is>
          <t>글리세린</t>
        </is>
      </c>
      <c r="C17" s="34" t="inlineStr">
        <is>
          <t>Glycerin</t>
        </is>
      </c>
      <c r="D17" s="35" t="inlineStr">
        <is>
          <t>✓</t>
        </is>
      </c>
      <c r="E17" s="36" t="inlineStr">
        <is>
          <t>보습</t>
        </is>
      </c>
      <c r="F17" s="34" t="inlineStr">
        <is>
          <t>용제·점도 보조·잔탄 선분산 매개</t>
        </is>
      </c>
      <c r="G17" s="34" t="inlineStr">
        <is>
          <t>식물+합성</t>
        </is>
      </c>
      <c r="H17" s="34" t="inlineStr">
        <is>
          <t>팜·대두·코코넛유(바이오디젤·비누 부산물)</t>
        </is>
      </c>
      <c r="I17" s="34" t="inlineStr">
        <is>
          <t>유지 가수분해/비누화 부산물 → 증류·탈색·탈취 정제</t>
        </is>
      </c>
      <c r="J17" s="34" t="inlineStr">
        <is>
          <t>3가 알코올(폴리올)</t>
        </is>
      </c>
      <c r="K17" s="34" t="inlineStr">
        <is>
          <t>점성 액상</t>
        </is>
      </c>
      <c r="L17" s="34" t="inlineStr">
        <is>
          <t>무색 투명</t>
        </is>
      </c>
      <c r="M17" s="34" t="inlineStr">
        <is>
          <t>무취(약간 단맛)</t>
        </is>
      </c>
      <c r="N17" s="34" t="inlineStr">
        <is>
          <t>수용성</t>
        </is>
      </c>
      <c r="O17" s="34" t="inlineStr">
        <is>
          <t>A상(가열 무관)</t>
        </is>
      </c>
      <c r="P17" s="34" t="inlineStr">
        <is>
          <t>촉촉·쫀쫀, 5%↑부터 끈적</t>
        </is>
      </c>
      <c r="Q17" s="34" t="inlineStr">
        <is>
          <t>약간 무거움</t>
        </is>
      </c>
      <c r="R17" s="34" t="inlineStr">
        <is>
          <t>끈적·광택 남음(고%)</t>
        </is>
      </c>
      <c r="S17" s="34" t="inlineStr">
        <is>
          <t>2~5% (10%↑ 끈적)</t>
        </is>
      </c>
      <c r="T17" s="34" t="inlineStr">
        <is>
          <t>pH 전 범위 안정, 열 안정</t>
        </is>
      </c>
      <c r="U17" s="34" t="inlineStr">
        <is>
          <t>잔탄·카보머 분말을 먼저 개어 뭉침 방지. 고%면 끈적 → 프로판디올·베타인으로 일부 대체</t>
        </is>
      </c>
      <c r="V17" s="34" t="inlineStr">
        <is>
          <t>₩3,000~6,000/500g</t>
        </is>
      </c>
      <c r="W17" s="37" t="inlineStr">
        <is>
          <t>★★★★★</t>
        </is>
      </c>
      <c r="X17" s="34" t="inlineStr">
        <is>
          <t>밀봉(흡습)·서늘</t>
        </is>
      </c>
      <c r="Y17" s="34" t="inlineStr">
        <is>
          <t>제한 없음</t>
        </is>
      </c>
      <c r="Z17" s="34" t="inlineStr">
        <is>
          <t>대표 휴멕턴트, 전성분 상위에 흔함</t>
        </is>
      </c>
      <c r="AA17" s="34" t="inlineStr">
        <is>
          <t>프로판디올·BG·베타인</t>
        </is>
      </c>
      <c r="AB17" s="34" t="inlineStr">
        <is>
          <t>가장 싸고 보습 확실. 끈적이 싫으면 프로판디올/베타인 섞기</t>
        </is>
      </c>
      <c r="AC17" s="34" t="inlineStr">
        <is>
          <t>손등에 글리세린 3% vs 10% 수용액 — 1분 뒤 끈적임·당김 비교</t>
        </is>
      </c>
      <c r="AD17" s="34" t="inlineStr">
        <is>
          <t>기본</t>
        </is>
      </c>
      <c r="AE17" s="38" t="n"/>
      <c r="AF17" s="39" t="n"/>
      <c r="AG17" s="38" t="n"/>
    </row>
    <row r="18" ht="92" customHeight="1">
      <c r="A18" s="32" t="n">
        <v>14</v>
      </c>
      <c r="B18" s="33" t="inlineStr">
        <is>
          <t>프로판디올</t>
        </is>
      </c>
      <c r="C18" s="34" t="inlineStr">
        <is>
          <t>Propanediol</t>
        </is>
      </c>
      <c r="D18" s="35" t="inlineStr">
        <is>
          <t>✓</t>
        </is>
      </c>
      <c r="E18" s="36" t="inlineStr">
        <is>
          <t>보습</t>
        </is>
      </c>
      <c r="F18" s="34" t="inlineStr">
        <is>
          <t>용제(추출물)·방부 부스터·끈적임↓</t>
        </is>
      </c>
      <c r="G18" s="34" t="inlineStr">
        <is>
          <t>발효</t>
        </is>
      </c>
      <c r="H18" s="34" t="inlineStr">
        <is>
          <t>옥수수 포도당</t>
        </is>
      </c>
      <c r="I18" s="34" t="inlineStr">
        <is>
          <t>미생물 발효(1,3-프로판디올) → 증류 정제 (바이오 기반)</t>
        </is>
      </c>
      <c r="J18" s="34" t="inlineStr">
        <is>
          <t>글라이콜(디올)</t>
        </is>
      </c>
      <c r="K18" s="34" t="inlineStr">
        <is>
          <t>저점도 액상</t>
        </is>
      </c>
      <c r="L18" s="34" t="inlineStr">
        <is>
          <t>무색 투명</t>
        </is>
      </c>
      <c r="M18" s="34" t="inlineStr">
        <is>
          <t>무취</t>
        </is>
      </c>
      <c r="N18" s="34" t="inlineStr">
        <is>
          <t>수용성</t>
        </is>
      </c>
      <c r="O18" s="34" t="inlineStr">
        <is>
          <t>A상 or 냉각상</t>
        </is>
      </c>
      <c r="P18" s="34" t="inlineStr">
        <is>
          <t>산뜻 촉촉, 글리세린보다 덜 끈적</t>
        </is>
      </c>
      <c r="Q18" s="34" t="inlineStr">
        <is>
          <t>가볍게 퍼짐</t>
        </is>
      </c>
      <c r="R18" s="34" t="inlineStr">
        <is>
          <t>거의 안 남음</t>
        </is>
      </c>
      <c r="S18" s="34" t="inlineStr">
        <is>
          <t>2~5%</t>
        </is>
      </c>
      <c r="T18" s="34" t="inlineStr">
        <is>
          <t>pH·열 안정</t>
        </is>
      </c>
      <c r="U18" s="34" t="inlineStr">
        <is>
          <t>글리세린과 섞으면 끈적임↓·보습 유지. 고%(10%↑)는 약간 따가움 보고</t>
        </is>
      </c>
      <c r="V18" s="34" t="inlineStr">
        <is>
          <t>₩8,000~12,000/250g</t>
        </is>
      </c>
      <c r="W18" s="37" t="inlineStr">
        <is>
          <t>★★★★☆</t>
        </is>
      </c>
      <c r="X18" s="34" t="inlineStr">
        <is>
          <t>밀봉·서늘</t>
        </is>
      </c>
      <c r="Y18" s="34" t="inlineStr">
        <is>
          <t>제한 없음</t>
        </is>
      </c>
      <c r="Z18" s="34" t="inlineStr">
        <is>
          <t>다가알코올 보습제·용제</t>
        </is>
      </c>
      <c r="AA18" s="34" t="inlineStr">
        <is>
          <t>글리세린·BG·펜틸렌글라이콜</t>
        </is>
      </c>
      <c r="AB18" s="34" t="inlineStr">
        <is>
          <t>'천연 유래 BG 대체'. BG보다 비싸지만 바이오 스토리·산뜻함</t>
        </is>
      </c>
      <c r="AC18" s="34" t="inlineStr">
        <is>
          <t>글리세린 5% vs 프로판디올 5% 반반 바른 손등 — 끈적 순위</t>
        </is>
      </c>
      <c r="AD18" s="34" t="inlineStr">
        <is>
          <t>기본</t>
        </is>
      </c>
      <c r="AE18" s="38" t="n"/>
      <c r="AF18" s="39" t="n"/>
      <c r="AG18" s="38" t="n"/>
    </row>
    <row r="19" ht="92" customHeight="1">
      <c r="A19" s="32" t="n">
        <v>15</v>
      </c>
      <c r="B19" s="33" t="inlineStr">
        <is>
          <t>베타인</t>
        </is>
      </c>
      <c r="C19" s="34" t="inlineStr">
        <is>
          <t>Betaine</t>
        </is>
      </c>
      <c r="D19" s="35" t="inlineStr">
        <is>
          <t>✓</t>
        </is>
      </c>
      <c r="E19" s="36" t="inlineStr">
        <is>
          <t>보습</t>
        </is>
      </c>
      <c r="F19" s="34" t="inlineStr">
        <is>
          <t>자극 완화(계면 자극↓)·피부 컨디셔닝</t>
        </is>
      </c>
      <c r="G19" s="34" t="inlineStr">
        <is>
          <t>식물</t>
        </is>
      </c>
      <c r="H19" s="34" t="inlineStr">
        <is>
          <t>사탕무 당밀</t>
        </is>
      </c>
      <c r="I19" s="34" t="inlineStr">
        <is>
          <t>당밀 크로마토그래피 분리 → 결정화 (원료는 분말/액상)</t>
        </is>
      </c>
      <c r="J19" s="34" t="inlineStr">
        <is>
          <t>아미노산 유도체(트리메틸글리신)</t>
        </is>
      </c>
      <c r="K19" s="34" t="inlineStr">
        <is>
          <t>분말(허브누리=액상)</t>
        </is>
      </c>
      <c r="L19" s="34" t="inlineStr">
        <is>
          <t>백색/무색</t>
        </is>
      </c>
      <c r="M19" s="34" t="inlineStr">
        <is>
          <t>무취(약간 단맛)</t>
        </is>
      </c>
      <c r="N19" s="34" t="inlineStr">
        <is>
          <t>수용성</t>
        </is>
      </c>
      <c r="O19" s="34" t="inlineStr">
        <is>
          <t>A상</t>
        </is>
      </c>
      <c r="P19" s="34" t="inlineStr">
        <is>
          <t>산뜻 촉촉, 비끈적</t>
        </is>
      </c>
      <c r="Q19" s="34" t="inlineStr">
        <is>
          <t>가벼움</t>
        </is>
      </c>
      <c r="R19" s="34" t="inlineStr">
        <is>
          <t>보들·매끈</t>
        </is>
      </c>
      <c r="S19" s="34" t="inlineStr">
        <is>
          <t>1~5%</t>
        </is>
      </c>
      <c r="T19" s="34" t="inlineStr">
        <is>
          <t>안정</t>
        </is>
      </c>
      <c r="U19" s="34" t="inlineStr">
        <is>
          <t>세정제에서 SLES 자극 완화. 액상품은 전성분에 헥산디올 포함 여부 확인</t>
        </is>
      </c>
      <c r="V19" s="34" t="inlineStr">
        <is>
          <t>₩6,000~10,000/100g</t>
        </is>
      </c>
      <c r="W19" s="37" t="inlineStr">
        <is>
          <t>★★★★☆</t>
        </is>
      </c>
      <c r="X19" s="34" t="inlineStr">
        <is>
          <t>방습·서늘</t>
        </is>
      </c>
      <c r="Y19" s="34" t="inlineStr">
        <is>
          <t>제한 없음</t>
        </is>
      </c>
      <c r="Z19" s="34" t="inlineStr">
        <is>
          <t>천연 유래 보습제</t>
        </is>
      </c>
      <c r="AA19" s="34" t="inlineStr">
        <is>
          <t>글리세린·트레할로스</t>
        </is>
      </c>
      <c r="AB19" s="34" t="inlineStr">
        <is>
          <t>'안 끈적이는 보습'. 글리세린 일부를 베타인으로 바꾸면 산뜻</t>
        </is>
      </c>
      <c r="AC19" s="34" t="inlineStr">
        <is>
          <t>베타인 3% 수용액을 바르고 글리세린 3%와 끈적임 비교</t>
        </is>
      </c>
      <c r="AD19" s="34" t="inlineStr">
        <is>
          <t>기본</t>
        </is>
      </c>
      <c r="AE19" s="38" t="n"/>
      <c r="AF19" s="39" t="n"/>
      <c r="AG19" s="38" t="n"/>
    </row>
    <row r="20" ht="92" customHeight="1">
      <c r="A20" s="32" t="n">
        <v>16</v>
      </c>
      <c r="B20" s="33" t="inlineStr">
        <is>
          <t>다중 히알루론산</t>
        </is>
      </c>
      <c r="C20" s="34" t="inlineStr">
        <is>
          <t>Sodium Hyaluronate (multi-MW)</t>
        </is>
      </c>
      <c r="D20" s="35" t="inlineStr">
        <is>
          <t>✓</t>
        </is>
      </c>
      <c r="E20" s="36" t="inlineStr">
        <is>
          <t>보습</t>
        </is>
      </c>
      <c r="F20" s="34" t="inlineStr">
        <is>
          <t>피막·점도 보조·탄력감</t>
        </is>
      </c>
      <c r="G20" s="34" t="inlineStr">
        <is>
          <t>발효</t>
        </is>
      </c>
      <c r="H20" s="34" t="inlineStr">
        <is>
          <t>연쇄상구균(Streptococcus) 발효</t>
        </is>
      </c>
      <c r="I20" s="34" t="inlineStr">
        <is>
          <t>발효액 정제 → 알코올 침전 → 건조. 가수분해로 저분자화</t>
        </is>
      </c>
      <c r="J20" s="34" t="inlineStr">
        <is>
          <t>다당류(고분자)</t>
        </is>
      </c>
      <c r="K20" s="34" t="inlineStr">
        <is>
          <t>분말</t>
        </is>
      </c>
      <c r="L20" s="34" t="inlineStr">
        <is>
          <t>백색</t>
        </is>
      </c>
      <c r="M20" s="34" t="inlineStr">
        <is>
          <t>무취</t>
        </is>
      </c>
      <c r="N20" s="34" t="inlineStr">
        <is>
          <t>수용성(천천히 팽윤)</t>
        </is>
      </c>
      <c r="O20" s="34" t="inlineStr">
        <is>
          <t>A상, 하루 불려 사용 / 열 장시간 X</t>
        </is>
      </c>
      <c r="P20" s="34" t="inlineStr">
        <is>
          <t>촉촉한 막, 고%면 당김·밀림</t>
        </is>
      </c>
      <c r="Q20" s="34" t="inlineStr">
        <is>
          <t>미끈하게 퍼짐</t>
        </is>
      </c>
      <c r="R20" s="34" t="inlineStr">
        <is>
          <t>얇은 막·때로 밀림</t>
        </is>
      </c>
      <c r="S20" s="34" t="inlineStr">
        <is>
          <t>분말 0.05~0.2% (1%원액은 5~10%)</t>
        </is>
      </c>
      <c r="T20" s="34" t="inlineStr">
        <is>
          <t>pH 4~8, 강산·장시간 고열·자외선에 분해</t>
        </is>
      </c>
      <c r="U20" s="34" t="inlineStr">
        <is>
          <t>전해질·양이온 고분자와 뭉침 가능. 카보머와 함께면 점도 상승</t>
        </is>
      </c>
      <c r="V20" s="34" t="inlineStr">
        <is>
          <t>₩20,000~40,000/20g</t>
        </is>
      </c>
      <c r="W20" s="37" t="inlineStr">
        <is>
          <t>★★★★☆</t>
        </is>
      </c>
      <c r="X20" s="34" t="inlineStr">
        <is>
          <t>방습·서늘</t>
        </is>
      </c>
      <c r="Y20" s="34" t="inlineStr">
        <is>
          <t>제한 없음</t>
        </is>
      </c>
      <c r="Z20" s="34" t="inlineStr">
        <is>
          <t>분자량별 보습 — 고분자=표면막, 저분자=흡수감</t>
        </is>
      </c>
      <c r="AA20" s="34" t="inlineStr">
        <is>
          <t>소듐PCA·폴리글루타믹애씨드·글리세린</t>
        </is>
      </c>
      <c r="AB20" s="34" t="inlineStr">
        <is>
          <t>소량으로 '물광 촉촉'. 과하면 때 밀림 → 0.1%부터</t>
        </is>
      </c>
      <c r="AC20" s="34" t="inlineStr">
        <is>
          <t>정제수에 0.1%·0.3%·0.5% 불려 점도·손등 밀림 비교</t>
        </is>
      </c>
      <c r="AD20" s="34" t="inlineStr">
        <is>
          <t>기본</t>
        </is>
      </c>
      <c r="AE20" s="38" t="n"/>
      <c r="AF20" s="39" t="n"/>
      <c r="AG20" s="38" t="n"/>
    </row>
    <row r="21" ht="92" customHeight="1">
      <c r="A21" s="32" t="n">
        <v>17</v>
      </c>
      <c r="B21" s="33" t="inlineStr">
        <is>
          <t>부틸렌글라이콜(BG)</t>
        </is>
      </c>
      <c r="C21" s="34" t="inlineStr">
        <is>
          <t>Butylene Glycol</t>
        </is>
      </c>
      <c r="D21" s="37" t="inlineStr">
        <is>
          <t>–</t>
        </is>
      </c>
      <c r="E21" s="36" t="inlineStr">
        <is>
          <t>보습</t>
        </is>
      </c>
      <c r="F21" s="34" t="inlineStr">
        <is>
          <t>추출물 용매·용해 보조·방부 부스터</t>
        </is>
      </c>
      <c r="G21" s="34" t="inlineStr">
        <is>
          <t>석유(바이오 BG도 있음)</t>
        </is>
      </c>
      <c r="H21" s="34" t="inlineStr">
        <is>
          <t>석유화학(아세트알데하이드) / 사탕수수 발효(바이오)</t>
        </is>
      </c>
      <c r="I21" s="34" t="inlineStr">
        <is>
          <t>합성 후 증류 정제</t>
        </is>
      </c>
      <c r="J21" s="34" t="inlineStr">
        <is>
          <t>1,3-디올</t>
        </is>
      </c>
      <c r="K21" s="34" t="inlineStr">
        <is>
          <t>저점도 액상</t>
        </is>
      </c>
      <c r="L21" s="34" t="inlineStr">
        <is>
          <t>무색 투명</t>
        </is>
      </c>
      <c r="M21" s="34" t="inlineStr">
        <is>
          <t>거의 무취</t>
        </is>
      </c>
      <c r="N21" s="34" t="inlineStr">
        <is>
          <t>수용성</t>
        </is>
      </c>
      <c r="O21" s="34" t="inlineStr">
        <is>
          <t>A상 or 냉각상</t>
        </is>
      </c>
      <c r="P21" s="34" t="inlineStr">
        <is>
          <t>산뜻·가벼움</t>
        </is>
      </c>
      <c r="Q21" s="34" t="inlineStr">
        <is>
          <t>잘 퍼짐</t>
        </is>
      </c>
      <c r="R21" s="34" t="inlineStr">
        <is>
          <t>잔여감 적음</t>
        </is>
      </c>
      <c r="S21" s="34" t="inlineStr">
        <is>
          <t>2~8%</t>
        </is>
      </c>
      <c r="T21" s="34" t="inlineStr">
        <is>
          <t>pH·열 안정</t>
        </is>
      </c>
      <c r="U21" s="34" t="inlineStr">
        <is>
          <t>식물 추출물 원료 대부분이 'BG+추출물'로 들어옴 → 전성분에 자동 등장</t>
        </is>
      </c>
      <c r="V21" s="34" t="inlineStr">
        <is>
          <t>₩5,000~8,000/500g</t>
        </is>
      </c>
      <c r="W21" s="37" t="inlineStr">
        <is>
          <t>★★★★☆</t>
        </is>
      </c>
      <c r="X21" s="34" t="inlineStr">
        <is>
          <t>밀봉</t>
        </is>
      </c>
      <c r="Y21" s="34" t="inlineStr">
        <is>
          <t>제한 없음</t>
        </is>
      </c>
      <c r="Z21" s="34" t="inlineStr">
        <is>
          <t>추출물 용매로 빈출</t>
        </is>
      </c>
      <c r="AA21" s="34" t="inlineStr">
        <is>
          <t>프로판디올·펜틸렌글라이콜</t>
        </is>
      </c>
      <c r="AB21" s="34" t="inlineStr">
        <is>
          <t>가장 범용·저렴한 산뜻 보습. '천연' 포지션이면 프로판디올</t>
        </is>
      </c>
      <c r="AC21" s="34" t="inlineStr">
        <is>
          <t>내 녹차추출물 TDS/전성분에 용매가 뭔지 찾아보기</t>
        </is>
      </c>
      <c r="AD21" s="34" t="inlineStr">
        <is>
          <t>기본</t>
        </is>
      </c>
      <c r="AE21" s="38" t="n"/>
      <c r="AF21" s="39" t="n"/>
      <c r="AG21" s="38" t="n"/>
    </row>
    <row r="22" ht="92" customHeight="1">
      <c r="A22" s="32" t="n">
        <v>18</v>
      </c>
      <c r="B22" s="33" t="inlineStr">
        <is>
          <t>펜틸렌글라이콜</t>
        </is>
      </c>
      <c r="C22" s="34" t="inlineStr">
        <is>
          <t>Pentylene Glycol</t>
        </is>
      </c>
      <c r="D22" s="37" t="inlineStr">
        <is>
          <t>–</t>
        </is>
      </c>
      <c r="E22" s="36" t="inlineStr">
        <is>
          <t>보습</t>
        </is>
      </c>
      <c r="F22" s="34" t="inlineStr">
        <is>
          <t>방부 부스터(항균)·용제</t>
        </is>
      </c>
      <c r="G22" s="34" t="inlineStr">
        <is>
          <t>합성(바이오 있음)</t>
        </is>
      </c>
      <c r="H22" s="34" t="inlineStr">
        <is>
          <t>석유 / 사탕수수 버개스</t>
        </is>
      </c>
      <c r="I22" s="34" t="inlineStr">
        <is>
          <t>1,2-펜탄디올 합성·정제</t>
        </is>
      </c>
      <c r="J22" s="34" t="inlineStr">
        <is>
          <t>1,2-알칸디올</t>
        </is>
      </c>
      <c r="K22" s="34" t="inlineStr">
        <is>
          <t>액상</t>
        </is>
      </c>
      <c r="L22" s="34" t="inlineStr">
        <is>
          <t>무색</t>
        </is>
      </c>
      <c r="M22" s="34" t="inlineStr">
        <is>
          <t>약한 특유취</t>
        </is>
      </c>
      <c r="N22" s="34" t="inlineStr">
        <is>
          <t>수용성</t>
        </is>
      </c>
      <c r="O22" s="34" t="inlineStr">
        <is>
          <t>냉각상 권장</t>
        </is>
      </c>
      <c r="P22" s="34" t="inlineStr">
        <is>
          <t>산뜻, 약간 따뜻한 느낌</t>
        </is>
      </c>
      <c r="Q22" s="34" t="inlineStr">
        <is>
          <t>가벼움</t>
        </is>
      </c>
      <c r="R22" s="34" t="inlineStr">
        <is>
          <t>거의 안 남음</t>
        </is>
      </c>
      <c r="S22" s="34" t="inlineStr">
        <is>
          <t>1~5%</t>
        </is>
      </c>
      <c r="T22" s="34" t="inlineStr">
        <is>
          <t>안정</t>
        </is>
      </c>
      <c r="U22" s="34" t="inlineStr">
        <is>
          <t>방부 시스템 보강(헥산디올과 같은 계열). 고%는 자극 가능</t>
        </is>
      </c>
      <c r="V22" s="34" t="inlineStr">
        <is>
          <t>₩15,000~25,000/100g</t>
        </is>
      </c>
      <c r="W22" s="37" t="inlineStr">
        <is>
          <t>★★★☆☆</t>
        </is>
      </c>
      <c r="X22" s="34" t="inlineStr">
        <is>
          <t>밀봉</t>
        </is>
      </c>
      <c r="Y22" s="34" t="inlineStr">
        <is>
          <t>제한 없음</t>
        </is>
      </c>
      <c r="Z22" s="34" t="inlineStr">
        <is>
          <t>1,2-알칸디올 = 보습+항균 부스터</t>
        </is>
      </c>
      <c r="AA22" s="34" t="inlineStr">
        <is>
          <t>1,2-헥산다이올·카프릴릴글라이콜</t>
        </is>
      </c>
      <c r="AB22" s="34" t="inlineStr">
        <is>
          <t>탄소사슬↑(C5→C6→C8)일수록 항균↑·자극↑·수용성↓</t>
        </is>
      </c>
      <c r="AC22" s="34" t="inlineStr">
        <is>
          <t>(구매 시) 헥산디올과 냄새·사용감 비교</t>
        </is>
      </c>
      <c r="AD22" s="34" t="inlineStr">
        <is>
          <t>기본</t>
        </is>
      </c>
      <c r="AE22" s="38" t="n"/>
      <c r="AF22" s="39" t="n"/>
      <c r="AG22" s="38" t="n"/>
    </row>
    <row r="23" ht="92" customHeight="1">
      <c r="A23" s="32" t="n">
        <v>19</v>
      </c>
      <c r="B23" s="33" t="inlineStr">
        <is>
          <t>소듐PCA</t>
        </is>
      </c>
      <c r="C23" s="34" t="inlineStr">
        <is>
          <t>Sodium PCA</t>
        </is>
      </c>
      <c r="D23" s="37" t="inlineStr">
        <is>
          <t>–</t>
        </is>
      </c>
      <c r="E23" s="36" t="inlineStr">
        <is>
          <t>보습</t>
        </is>
      </c>
      <c r="F23" s="34" t="inlineStr">
        <is>
          <t>NMF(천연보습인자) 구성</t>
        </is>
      </c>
      <c r="G23" s="34" t="inlineStr">
        <is>
          <t>발효</t>
        </is>
      </c>
      <c r="H23" s="34" t="inlineStr">
        <is>
          <t>글루탐산(사탕수수 발효)</t>
        </is>
      </c>
      <c r="I23" s="34" t="inlineStr">
        <is>
          <t>글루탐산 고리화 → 나트륨염, 보통 50% 수용액</t>
        </is>
      </c>
      <c r="J23" s="34" t="inlineStr">
        <is>
          <t>아미노산 유도체 염</t>
        </is>
      </c>
      <c r="K23" s="34" t="inlineStr">
        <is>
          <t>액상(50%)</t>
        </is>
      </c>
      <c r="L23" s="34" t="inlineStr">
        <is>
          <t>무색~연노랑</t>
        </is>
      </c>
      <c r="M23" s="34" t="inlineStr">
        <is>
          <t>거의 무취</t>
        </is>
      </c>
      <c r="N23" s="34" t="inlineStr">
        <is>
          <t>수용성</t>
        </is>
      </c>
      <c r="O23" s="34" t="inlineStr">
        <is>
          <t>A상 or 냉각상</t>
        </is>
      </c>
      <c r="P23" s="34" t="inlineStr">
        <is>
          <t>가볍고 촉촉</t>
        </is>
      </c>
      <c r="Q23" s="34" t="inlineStr">
        <is>
          <t>매우 가벼움</t>
        </is>
      </c>
      <c r="R23" s="34" t="inlineStr">
        <is>
          <t>잔여감 없음</t>
        </is>
      </c>
      <c r="S23" s="34" t="inlineStr">
        <is>
          <t>0.5~3%(원료)</t>
        </is>
      </c>
      <c r="T23" s="34" t="inlineStr">
        <is>
          <t>안정</t>
        </is>
      </c>
      <c r="U23" s="34" t="inlineStr">
        <is>
          <t>전해질 → 카보머 점도↓</t>
        </is>
      </c>
      <c r="V23" s="34" t="inlineStr">
        <is>
          <t>₩10,000~15,000/100g</t>
        </is>
      </c>
      <c r="W23" s="37" t="inlineStr">
        <is>
          <t>★★★☆☆</t>
        </is>
      </c>
      <c r="X23" s="34" t="inlineStr">
        <is>
          <t>밀봉</t>
        </is>
      </c>
      <c r="Y23" s="34" t="inlineStr">
        <is>
          <t>제한 없음</t>
        </is>
      </c>
      <c r="Z23" s="34" t="inlineStr">
        <is>
          <t>NMF 구성 성분(PCA·아미노산·젖산염·요소)</t>
        </is>
      </c>
      <c r="AA23" s="34" t="inlineStr">
        <is>
          <t>글리세린·우레아·히알루론산</t>
        </is>
      </c>
      <c r="AB23" s="34" t="inlineStr">
        <is>
          <t>글리세린보다 흡습↑·끈적↓. 카보머 젤에는 소량만</t>
        </is>
      </c>
      <c r="AC23" s="34" t="inlineStr">
        <is>
          <t>(구매 시) 카보머 젤에 1% 넣어 점도 떨어지는 것 관찰</t>
        </is>
      </c>
      <c r="AD23" s="34" t="inlineStr">
        <is>
          <t>기본</t>
        </is>
      </c>
      <c r="AE23" s="38" t="n"/>
      <c r="AF23" s="39" t="n"/>
      <c r="AG23" s="38" t="n"/>
    </row>
    <row r="24" ht="92" customHeight="1">
      <c r="A24" s="32" t="n">
        <v>20</v>
      </c>
      <c r="B24" s="33" t="inlineStr">
        <is>
          <t>트레할로스</t>
        </is>
      </c>
      <c r="C24" s="34" t="inlineStr">
        <is>
          <t>Trehalose</t>
        </is>
      </c>
      <c r="D24" s="37" t="inlineStr">
        <is>
          <t>–</t>
        </is>
      </c>
      <c r="E24" s="36" t="inlineStr">
        <is>
          <t>보습</t>
        </is>
      </c>
      <c r="F24" s="34" t="inlineStr">
        <is>
          <t>단백질·세포 보호(건조 내성)</t>
        </is>
      </c>
      <c r="G24" s="34" t="inlineStr">
        <is>
          <t>식물</t>
        </is>
      </c>
      <c r="H24" s="34" t="inlineStr">
        <is>
          <t>전분(옥수수·타피오카)</t>
        </is>
      </c>
      <c r="I24" s="34" t="inlineStr">
        <is>
          <t>전분 → 효소 전환 → 결정화</t>
        </is>
      </c>
      <c r="J24" s="34" t="inlineStr">
        <is>
          <t>이당류</t>
        </is>
      </c>
      <c r="K24" s="34" t="inlineStr">
        <is>
          <t>결정 분말</t>
        </is>
      </c>
      <c r="L24" s="34" t="inlineStr">
        <is>
          <t>백색</t>
        </is>
      </c>
      <c r="M24" s="34" t="inlineStr">
        <is>
          <t>무취(단맛)</t>
        </is>
      </c>
      <c r="N24" s="34" t="inlineStr">
        <is>
          <t>수용성</t>
        </is>
      </c>
      <c r="O24" s="34" t="inlineStr">
        <is>
          <t>A상</t>
        </is>
      </c>
      <c r="P24" s="34" t="inlineStr">
        <is>
          <t>산뜻·보들</t>
        </is>
      </c>
      <c r="Q24" s="34" t="inlineStr">
        <is>
          <t>가벼움</t>
        </is>
      </c>
      <c r="R24" s="34" t="inlineStr">
        <is>
          <t>매끈</t>
        </is>
      </c>
      <c r="S24" s="34" t="inlineStr">
        <is>
          <t>1~3%</t>
        </is>
      </c>
      <c r="T24" s="34" t="inlineStr">
        <is>
          <t>안정</t>
        </is>
      </c>
      <c r="U24" s="34" t="inlineStr">
        <is>
          <t>미생물 영양원(당) → 방부 신경</t>
        </is>
      </c>
      <c r="V24" s="34" t="inlineStr">
        <is>
          <t>₩8,000~12,000/100g</t>
        </is>
      </c>
      <c r="W24" s="37" t="inlineStr">
        <is>
          <t>★★★☆☆</t>
        </is>
      </c>
      <c r="X24" s="34" t="inlineStr">
        <is>
          <t>방습</t>
        </is>
      </c>
      <c r="Y24" s="34" t="inlineStr">
        <is>
          <t>제한 없음</t>
        </is>
      </c>
      <c r="Z24" s="34" t="inlineStr">
        <is>
          <t>당류 보습</t>
        </is>
      </c>
      <c r="AA24" s="34" t="inlineStr">
        <is>
          <t>베타인·글리세린</t>
        </is>
      </c>
      <c r="AB24" s="34" t="inlineStr">
        <is>
          <t>'건조 스트레스 보호' 스토리. 산뜻 보습 보강</t>
        </is>
      </c>
      <c r="AC24" s="34" t="inlineStr">
        <is>
          <t>트레할로스 2% 수용액 vs 베타인 2% 마른 뒤 감촉</t>
        </is>
      </c>
      <c r="AD24" s="34" t="inlineStr">
        <is>
          <t>기본</t>
        </is>
      </c>
      <c r="AE24" s="38" t="n"/>
      <c r="AF24" s="39" t="n"/>
      <c r="AG24" s="38" t="n"/>
    </row>
    <row r="25" ht="92" customHeight="1">
      <c r="A25" s="32" t="n">
        <v>21</v>
      </c>
      <c r="B25" s="33" t="inlineStr">
        <is>
          <t>우레아</t>
        </is>
      </c>
      <c r="C25" s="34" t="inlineStr">
        <is>
          <t>Urea</t>
        </is>
      </c>
      <c r="D25" s="37" t="inlineStr">
        <is>
          <t>–</t>
        </is>
      </c>
      <c r="E25" s="36" t="inlineStr">
        <is>
          <t>보습</t>
        </is>
      </c>
      <c r="F25" s="34" t="inlineStr">
        <is>
          <t>각질 연화·NMF</t>
        </is>
      </c>
      <c r="G25" s="34" t="inlineStr">
        <is>
          <t>합성</t>
        </is>
      </c>
      <c r="H25" s="34" t="inlineStr">
        <is>
          <t>암모니아 + 이산화탄소</t>
        </is>
      </c>
      <c r="I25" s="34" t="inlineStr">
        <is>
          <t>고온고압 합성 → 결정화</t>
        </is>
      </c>
      <c r="J25" s="34" t="inlineStr">
        <is>
          <t>아마이드</t>
        </is>
      </c>
      <c r="K25" s="34" t="inlineStr">
        <is>
          <t>결정 분말</t>
        </is>
      </c>
      <c r="L25" s="34" t="inlineStr">
        <is>
          <t>백색</t>
        </is>
      </c>
      <c r="M25" s="34" t="inlineStr">
        <is>
          <t>무취(분해 시 암모니아취)</t>
        </is>
      </c>
      <c r="N25" s="34" t="inlineStr">
        <is>
          <t>수용성(녹을 때 차가워짐)</t>
        </is>
      </c>
      <c r="O25" s="34" t="inlineStr">
        <is>
          <t>냉각상(가열 금지)</t>
        </is>
      </c>
      <c r="P25" s="34" t="inlineStr">
        <is>
          <t>촉촉·부드러움, 고%면 따가움</t>
        </is>
      </c>
      <c r="Q25" s="34" t="inlineStr">
        <is>
          <t>—</t>
        </is>
      </c>
      <c r="R25" s="34" t="inlineStr">
        <is>
          <t>매끈</t>
        </is>
      </c>
      <c r="S25" s="34" t="inlineStr">
        <is>
          <t>2~10%</t>
        </is>
      </c>
      <c r="T25" s="34" t="inlineStr">
        <is>
          <t>pH 6~7 권장, 가열·장기보관 시 분해→pH 상승</t>
        </is>
      </c>
      <c r="U25" s="34" t="inlineStr">
        <is>
          <t>분해로 암모니아·pH↑ → 버퍼(락테이트/시트레이트) 필요</t>
        </is>
      </c>
      <c r="V25" s="34" t="inlineStr">
        <is>
          <t>₩3,000~6,000/500g</t>
        </is>
      </c>
      <c r="W25" s="37" t="inlineStr">
        <is>
          <t>★★★☆☆</t>
        </is>
      </c>
      <c r="X25" s="34" t="inlineStr">
        <is>
          <t>방습</t>
        </is>
      </c>
      <c r="Y25" s="34" t="inlineStr">
        <is>
          <t>★ 기타 사용제한: 우레아 10%</t>
        </is>
      </c>
      <c r="Z25" s="34" t="inlineStr">
        <is>
          <t>사용제한 '기타'에 등장</t>
        </is>
      </c>
      <c r="AA25" s="34" t="inlineStr">
        <is>
          <t>소듐PCA·젖산</t>
        </is>
      </c>
      <c r="AB25" s="34" t="inlineStr">
        <is>
          <t>발/팔꿈치 각질 크림용. 얼굴 데일리엔 2~5%</t>
        </is>
      </c>
      <c r="AC25" s="34" t="inlineStr">
        <is>
          <t>물에 녹일 때 온도 내려가는 것 손으로 느껴보기(흡열)</t>
        </is>
      </c>
      <c r="AD25" s="34" t="inlineStr">
        <is>
          <t>기본</t>
        </is>
      </c>
      <c r="AE25" s="38" t="n"/>
      <c r="AF25" s="39" t="n"/>
      <c r="AG25" s="38" t="n"/>
    </row>
    <row r="26" ht="92" customHeight="1">
      <c r="A26" s="32" t="n">
        <v>22</v>
      </c>
      <c r="B26" s="33" t="inlineStr">
        <is>
          <t>폴리글루타믹애씨드(PGA)</t>
        </is>
      </c>
      <c r="C26" s="34" t="inlineStr">
        <is>
          <t>Polyglutamic Acid</t>
        </is>
      </c>
      <c r="D26" s="37" t="inlineStr">
        <is>
          <t>–</t>
        </is>
      </c>
      <c r="E26" s="36" t="inlineStr">
        <is>
          <t>보습</t>
        </is>
      </c>
      <c r="F26" s="34" t="inlineStr">
        <is>
          <t>보습막·HA 보완</t>
        </is>
      </c>
      <c r="G26" s="34" t="inlineStr">
        <is>
          <t>발효</t>
        </is>
      </c>
      <c r="H26" s="34" t="inlineStr">
        <is>
          <t>콩(낫토) 발효</t>
        </is>
      </c>
      <c r="I26" s="34" t="inlineStr">
        <is>
          <t>Bacillus subtilis(낫토균) 발효 → 정제·건조 (고분자)</t>
        </is>
      </c>
      <c r="J26" s="34" t="inlineStr">
        <is>
          <t>폴리아미노산(고분자)</t>
        </is>
      </c>
      <c r="K26" s="34" t="inlineStr">
        <is>
          <t>분말/원료액</t>
        </is>
      </c>
      <c r="L26" s="34" t="inlineStr">
        <is>
          <t>백색</t>
        </is>
      </c>
      <c r="M26" s="34" t="inlineStr">
        <is>
          <t>무취</t>
        </is>
      </c>
      <c r="N26" s="34" t="inlineStr">
        <is>
          <t>수용성</t>
        </is>
      </c>
      <c r="O26" s="34" t="inlineStr">
        <is>
          <t>A상 or 냉각상</t>
        </is>
      </c>
      <c r="P26" s="34" t="inlineStr">
        <is>
          <t>촉촉한 막, HA보다 덜 당김</t>
        </is>
      </c>
      <c r="Q26" s="34" t="inlineStr">
        <is>
          <t>미끈</t>
        </is>
      </c>
      <c r="R26" s="34" t="inlineStr">
        <is>
          <t>얇은 막</t>
        </is>
      </c>
      <c r="S26" s="34" t="inlineStr">
        <is>
          <t>분말 0.05~0.2% / 1%원액 5~10%</t>
        </is>
      </c>
      <c r="T26" s="34" t="inlineStr">
        <is>
          <t>pH 4~8</t>
        </is>
      </c>
      <c r="U26" s="34" t="inlineStr">
        <is>
          <t>전해질 많으면 점도↓. HA와 병용 흔함</t>
        </is>
      </c>
      <c r="V26" s="34" t="inlineStr">
        <is>
          <t>₩30,000~/20g</t>
        </is>
      </c>
      <c r="W26" s="37" t="inlineStr">
        <is>
          <t>★★★☆☆</t>
        </is>
      </c>
      <c r="X26" s="34" t="inlineStr">
        <is>
          <t>방습</t>
        </is>
      </c>
      <c r="Y26" s="34" t="inlineStr">
        <is>
          <t>제한 없음</t>
        </is>
      </c>
      <c r="Z26" s="34" t="inlineStr">
        <is>
          <t>—</t>
        </is>
      </c>
      <c r="AA26" s="34" t="inlineStr">
        <is>
          <t>다중 히알루론산·리피듀어</t>
        </is>
      </c>
      <c r="AB26" s="34" t="inlineStr">
        <is>
          <t>HA의 '더 강한 막' 버전 스토리. 허브누리 '낫또모이스트'가 이 계열</t>
        </is>
      </c>
      <c r="AC26" s="34" t="inlineStr">
        <is>
          <t>—(구매 시) HA 0.1% vs PGA 0.1% 막감 비교</t>
        </is>
      </c>
      <c r="AD26" s="34" t="inlineStr">
        <is>
          <t>도감 기능성</t>
        </is>
      </c>
      <c r="AE26" s="38" t="n"/>
      <c r="AF26" s="39" t="n"/>
      <c r="AG26" s="38" t="n"/>
    </row>
    <row r="27" ht="92" customHeight="1">
      <c r="A27" s="32" t="n">
        <v>23</v>
      </c>
      <c r="B27" s="33" t="inlineStr">
        <is>
          <t>자일리톨</t>
        </is>
      </c>
      <c r="C27" s="34" t="inlineStr">
        <is>
          <t>Xylitol</t>
        </is>
      </c>
      <c r="D27" s="37" t="inlineStr">
        <is>
          <t>–</t>
        </is>
      </c>
      <c r="E27" s="36" t="inlineStr">
        <is>
          <t>보습</t>
        </is>
      </c>
      <c r="F27" s="34" t="inlineStr">
        <is>
          <t>보습·당류 무드</t>
        </is>
      </c>
      <c r="G27" s="34" t="inlineStr">
        <is>
          <t>식물</t>
        </is>
      </c>
      <c r="H27" s="34" t="inlineStr">
        <is>
          <t>자작나무·옥수수속대</t>
        </is>
      </c>
      <c r="I27" s="34" t="inlineStr">
        <is>
          <t>자일란 가수분해 → 자일로스 → 수소화 → 결정</t>
        </is>
      </c>
      <c r="J27" s="34" t="inlineStr">
        <is>
          <t>당알코올</t>
        </is>
      </c>
      <c r="K27" s="34" t="inlineStr">
        <is>
          <t>결정</t>
        </is>
      </c>
      <c r="L27" s="34" t="inlineStr">
        <is>
          <t>백색</t>
        </is>
      </c>
      <c r="M27" s="34" t="inlineStr">
        <is>
          <t>무취(단맛, 녹으며 시원)</t>
        </is>
      </c>
      <c r="N27" s="34" t="inlineStr">
        <is>
          <t>수용성(흡열)</t>
        </is>
      </c>
      <c r="O27" s="34" t="inlineStr">
        <is>
          <t>A상</t>
        </is>
      </c>
      <c r="P27" s="34" t="inlineStr">
        <is>
          <t>산뜻</t>
        </is>
      </c>
      <c r="Q27" s="34" t="inlineStr">
        <is>
          <t>—</t>
        </is>
      </c>
      <c r="R27" s="34" t="inlineStr">
        <is>
          <t>—</t>
        </is>
      </c>
      <c r="S27" s="34" t="inlineStr">
        <is>
          <t>1~5%</t>
        </is>
      </c>
      <c r="T27" s="34" t="inlineStr">
        <is>
          <t>안정</t>
        </is>
      </c>
      <c r="U27" s="34" t="inlineStr">
        <is>
          <t>당이라 방부 신경</t>
        </is>
      </c>
      <c r="V27" s="34" t="inlineStr">
        <is>
          <t>₩5,000/200g</t>
        </is>
      </c>
      <c r="W27" s="37" t="inlineStr">
        <is>
          <t>★★★★☆</t>
        </is>
      </c>
      <c r="X27" s="34" t="inlineStr">
        <is>
          <t>방습</t>
        </is>
      </c>
      <c r="Y27" s="34" t="inlineStr">
        <is>
          <t>제한 없음</t>
        </is>
      </c>
      <c r="Z27" s="34" t="inlineStr">
        <is>
          <t>—</t>
        </is>
      </c>
      <c r="AA27" s="34" t="inlineStr">
        <is>
          <t>트레할로스·글리세린</t>
        </is>
      </c>
      <c r="AB27" s="34" t="inlineStr">
        <is>
          <t>가벼운 당류 보습</t>
        </is>
      </c>
      <c r="AC27" s="34" t="inlineStr">
        <is>
          <t>—</t>
        </is>
      </c>
      <c r="AD27" s="34" t="inlineStr">
        <is>
          <t>허브누리</t>
        </is>
      </c>
      <c r="AE27" s="38" t="n"/>
      <c r="AF27" s="39" t="n"/>
      <c r="AG27" s="38" t="n"/>
    </row>
    <row r="28" ht="92" customHeight="1">
      <c r="A28" s="32" t="n">
        <v>24</v>
      </c>
      <c r="B28" s="33" t="inlineStr">
        <is>
          <t>허니(꿀) 추출물</t>
        </is>
      </c>
      <c r="C28" s="34" t="inlineStr">
        <is>
          <t>Honey Extract / Mel</t>
        </is>
      </c>
      <c r="D28" s="37" t="inlineStr">
        <is>
          <t>–</t>
        </is>
      </c>
      <c r="E28" s="36" t="inlineStr">
        <is>
          <t>보습</t>
        </is>
      </c>
      <c r="F28" s="34" t="inlineStr">
        <is>
          <t>보습·광채 무드</t>
        </is>
      </c>
      <c r="G28" s="34" t="inlineStr">
        <is>
          <t>동물</t>
        </is>
      </c>
      <c r="H28" s="34" t="inlineStr">
        <is>
          <t>벌꿀</t>
        </is>
      </c>
      <c r="I28" s="34" t="inlineStr">
        <is>
          <t>희석·여과 or 추출</t>
        </is>
      </c>
      <c r="J28" s="34" t="inlineStr">
        <is>
          <t>당(과당·포도당)</t>
        </is>
      </c>
      <c r="K28" s="34" t="inlineStr">
        <is>
          <t>점성 액</t>
        </is>
      </c>
      <c r="L28" s="34" t="inlineStr">
        <is>
          <t>황금</t>
        </is>
      </c>
      <c r="M28" s="34" t="inlineStr">
        <is>
          <t>꿀향</t>
        </is>
      </c>
      <c r="N28" s="34" t="inlineStr">
        <is>
          <t>수용성</t>
        </is>
      </c>
      <c r="O28" s="34" t="inlineStr">
        <is>
          <t>냉각상</t>
        </is>
      </c>
      <c r="P28" s="34" t="inlineStr">
        <is>
          <t>촉촉·약간 끈적</t>
        </is>
      </c>
      <c r="Q28" s="34" t="inlineStr">
        <is>
          <t>—</t>
        </is>
      </c>
      <c r="R28" s="34" t="inlineStr">
        <is>
          <t>촉촉</t>
        </is>
      </c>
      <c r="S28" s="34" t="inlineStr">
        <is>
          <t>1~5%</t>
        </is>
      </c>
      <c r="T28" s="34" t="inlineStr">
        <is>
          <t>미생물 영양</t>
        </is>
      </c>
      <c r="U28" s="34" t="inlineStr">
        <is>
          <t>당 → 방부 필수</t>
        </is>
      </c>
      <c r="V28" s="34" t="inlineStr">
        <is>
          <t>₩10,000/100g</t>
        </is>
      </c>
      <c r="W28" s="37" t="inlineStr">
        <is>
          <t>★★★★☆</t>
        </is>
      </c>
      <c r="X28" s="34" t="inlineStr">
        <is>
          <t>서늘</t>
        </is>
      </c>
      <c r="Y28" s="34" t="inlineStr">
        <is>
          <t>제한 없음</t>
        </is>
      </c>
      <c r="Z28" s="34" t="inlineStr">
        <is>
          <t>—</t>
        </is>
      </c>
      <c r="AA28" s="34" t="inlineStr">
        <is>
          <t>글리세린·프로폴리스</t>
        </is>
      </c>
      <c r="AB28" s="34" t="inlineStr">
        <is>
          <t>휴멕턴트 + 스토리</t>
        </is>
      </c>
      <c r="AC28" s="34" t="inlineStr">
        <is>
          <t>—</t>
        </is>
      </c>
      <c r="AD28" s="34" t="inlineStr">
        <is>
          <t>허브누리</t>
        </is>
      </c>
      <c r="AE28" s="38" t="n"/>
      <c r="AF28" s="39" t="n"/>
      <c r="AG28" s="38" t="n"/>
    </row>
    <row r="29" ht="92" customHeight="1">
      <c r="A29" s="40" t="n">
        <v>25</v>
      </c>
      <c r="B29" s="41" t="inlineStr">
        <is>
          <t>잔탄검</t>
        </is>
      </c>
      <c r="C29" s="34" t="inlineStr">
        <is>
          <t>Xanthan Gum</t>
        </is>
      </c>
      <c r="D29" s="35" t="inlineStr">
        <is>
          <t>✓</t>
        </is>
      </c>
      <c r="E29" s="42" t="inlineStr">
        <is>
          <t>점증</t>
        </is>
      </c>
      <c r="F29" s="34" t="inlineStr">
        <is>
          <t>현탁 안정·유화 안정 보조</t>
        </is>
      </c>
      <c r="G29" s="34" t="inlineStr">
        <is>
          <t>발효</t>
        </is>
      </c>
      <c r="H29" s="34" t="inlineStr">
        <is>
          <t>포도당·전분 당</t>
        </is>
      </c>
      <c r="I29" s="34" t="inlineStr">
        <is>
          <t>Xanthomonas campestris 발효 → 알코올 침전 → 건조·분쇄</t>
        </is>
      </c>
      <c r="J29" s="34" t="inlineStr">
        <is>
          <t>음이온 다당류</t>
        </is>
      </c>
      <c r="K29" s="34" t="inlineStr">
        <is>
          <t>분말</t>
        </is>
      </c>
      <c r="L29" s="34" t="inlineStr">
        <is>
          <t>미백~크림색</t>
        </is>
      </c>
      <c r="M29" s="34" t="inlineStr">
        <is>
          <t>약한 특유취</t>
        </is>
      </c>
      <c r="N29" s="34" t="inlineStr">
        <is>
          <t>수용성(뭉침 잘 생김)</t>
        </is>
      </c>
      <c r="O29" s="34" t="inlineStr">
        <is>
          <t>A상, 글리세린 선분산 후 교반</t>
        </is>
      </c>
      <c r="P29" s="34" t="inlineStr">
        <is>
          <t>미끈·쫀득, 0.5%↑ 콧물 같은 실끈</t>
        </is>
      </c>
      <c r="Q29" s="34" t="inlineStr">
        <is>
          <t>잘 퍼짐(전단담화)</t>
        </is>
      </c>
      <c r="R29" s="34" t="inlineStr">
        <is>
          <t>얇은 막·약간 끈적</t>
        </is>
      </c>
      <c r="S29" s="34" t="inlineStr">
        <is>
          <t>0.2~0.5%</t>
        </is>
      </c>
      <c r="T29" s="34" t="inlineStr">
        <is>
          <t>pH 2~12·전해질·열 모두 강함</t>
        </is>
      </c>
      <c r="U29" s="34" t="inlineStr">
        <is>
          <t>약간 탁함 → 투명 젤엔 카보머. 0.3%+HEC 혼용 시 실끈↓</t>
        </is>
      </c>
      <c r="V29" s="34" t="inlineStr">
        <is>
          <t>₩5,000~8,000/100g</t>
        </is>
      </c>
      <c r="W29" s="37" t="inlineStr">
        <is>
          <t>★★★★★</t>
        </is>
      </c>
      <c r="X29" s="34" t="inlineStr">
        <is>
          <t>방습</t>
        </is>
      </c>
      <c r="Y29" s="34" t="inlineStr">
        <is>
          <t>제한 없음</t>
        </is>
      </c>
      <c r="Z29" s="34" t="inlineStr">
        <is>
          <t>천연 점증제, 전단담화(흔들면 묽어짐)</t>
        </is>
      </c>
      <c r="AA29" s="34" t="inlineStr">
        <is>
          <t>카보머·HEC·스클레로튬검</t>
        </is>
      </c>
      <c r="AB29" s="34" t="inlineStr">
        <is>
          <t>실패 적고 천연. 단 투명도·실끈이 단점</t>
        </is>
      </c>
      <c r="AC29" s="34" t="inlineStr">
        <is>
          <t>0.2%·0.4%·0.6% 젤 — 손가락으로 집었다 뗄 때 실 늘어나는 정도</t>
        </is>
      </c>
      <c r="AD29" s="34" t="inlineStr">
        <is>
          <t>기본</t>
        </is>
      </c>
      <c r="AE29" s="38" t="n"/>
      <c r="AF29" s="39" t="n"/>
      <c r="AG29" s="38" t="n"/>
    </row>
    <row r="30" ht="92" customHeight="1">
      <c r="A30" s="40" t="n">
        <v>26</v>
      </c>
      <c r="B30" s="41" t="inlineStr">
        <is>
          <t>카보머</t>
        </is>
      </c>
      <c r="C30" s="34" t="inlineStr">
        <is>
          <t>Carbomer</t>
        </is>
      </c>
      <c r="D30" s="37" t="inlineStr">
        <is>
          <t>주문</t>
        </is>
      </c>
      <c r="E30" s="42" t="inlineStr">
        <is>
          <t>점증</t>
        </is>
      </c>
      <c r="F30" s="34" t="inlineStr">
        <is>
          <t>투명 젤·유화 안정</t>
        </is>
      </c>
      <c r="G30" s="34" t="inlineStr">
        <is>
          <t>합성</t>
        </is>
      </c>
      <c r="H30" s="34" t="inlineStr">
        <is>
          <t>아크릴산(석유)</t>
        </is>
      </c>
      <c r="I30" s="34" t="inlineStr">
        <is>
          <t>아크릴산 가교 중합 → 건조 분말</t>
        </is>
      </c>
      <c r="J30" s="34" t="inlineStr">
        <is>
          <t>가교 폴리아크릴산</t>
        </is>
      </c>
      <c r="K30" s="34" t="inlineStr">
        <is>
          <t>솜털 분말</t>
        </is>
      </c>
      <c r="L30" s="34" t="inlineStr">
        <is>
          <t>백색</t>
        </is>
      </c>
      <c r="M30" s="34" t="inlineStr">
        <is>
          <t>약한 산취</t>
        </is>
      </c>
      <c r="N30" s="34" t="inlineStr">
        <is>
          <t>물 분산 → 중화해야 점증</t>
        </is>
      </c>
      <c r="O30" s="34" t="inlineStr">
        <is>
          <t>A상 분산 → 중화(pH 6~7)</t>
        </is>
      </c>
      <c r="P30" s="34" t="inlineStr">
        <is>
          <t>탱글·산뜻, 물광 젤</t>
        </is>
      </c>
      <c r="Q30" s="34" t="inlineStr">
        <is>
          <t>가볍게 퍼짐</t>
        </is>
      </c>
      <c r="R30" s="34" t="inlineStr">
        <is>
          <t>거의 안 남음(약간 필름)</t>
        </is>
      </c>
      <c r="S30" s="34" t="inlineStr">
        <is>
          <t>0.2~0.5%</t>
        </is>
      </c>
      <c r="T30" s="34" t="inlineStr">
        <is>
          <t>중화 pH 5.5~7.5 최적. 전해질·자외선에 점도↓</t>
        </is>
      </c>
      <c r="U30" s="34" t="inlineStr">
        <is>
          <t>★ 아연피카·소듐PCA·염(전해질) 넣으면 점도 급락. 중화제: 트로메타민·아르기닌·NaOH</t>
        </is>
      </c>
      <c r="V30" s="34" t="inlineStr">
        <is>
          <t>₩8,000~15,000/100g</t>
        </is>
      </c>
      <c r="W30" s="37" t="inlineStr">
        <is>
          <t>★★★★☆</t>
        </is>
      </c>
      <c r="X30" s="34" t="inlineStr">
        <is>
          <t>밀봉·정전기 주의(분진)</t>
        </is>
      </c>
      <c r="Y30" s="34" t="inlineStr">
        <is>
          <t>제한 없음</t>
        </is>
      </c>
      <c r="Z30" s="34" t="inlineStr">
        <is>
          <t>중화형 점증제 — 산성 분산액 → 중화 시 점도↑</t>
        </is>
      </c>
      <c r="AA30" s="34" t="inlineStr">
        <is>
          <t>잔탄검·HEC·Ultrez·세피노브</t>
        </is>
      </c>
      <c r="AB30" s="34" t="inlineStr">
        <is>
          <t>가장 투명·산뜻. 전해질 많은 처방은 부적합</t>
        </is>
      </c>
      <c r="AC30" s="34" t="inlineStr">
        <is>
          <t>0.3% 분산액 pH 재고 트로메타민 한 방울씩 → 점도 '확' 오르는 순간 pH 기록</t>
        </is>
      </c>
      <c r="AD30" s="34" t="inlineStr">
        <is>
          <t>기본</t>
        </is>
      </c>
      <c r="AE30" s="38" t="n"/>
      <c r="AF30" s="39" t="n"/>
      <c r="AG30" s="38" t="n"/>
    </row>
    <row r="31" ht="92" customHeight="1">
      <c r="A31" s="40" t="n">
        <v>27</v>
      </c>
      <c r="B31" s="41" t="inlineStr">
        <is>
          <t>하이드록시에틸셀룰로오스(HEC)</t>
        </is>
      </c>
      <c r="C31" s="34" t="inlineStr">
        <is>
          <t>Hydroxyethylcellulose</t>
        </is>
      </c>
      <c r="D31" s="37" t="inlineStr">
        <is>
          <t>–</t>
        </is>
      </c>
      <c r="E31" s="42" t="inlineStr">
        <is>
          <t>점증</t>
        </is>
      </c>
      <c r="F31" s="34" t="inlineStr">
        <is>
          <t>투명 점증·세정제 점도</t>
        </is>
      </c>
      <c r="G31" s="34" t="inlineStr">
        <is>
          <t>식물+합성</t>
        </is>
      </c>
      <c r="H31" s="34" t="inlineStr">
        <is>
          <t>목재 펄프·면 셀룰로오스</t>
        </is>
      </c>
      <c r="I31" s="34" t="inlineStr">
        <is>
          <t>셀룰로오스 + 에틸렌옥사이드 반응 → 정제</t>
        </is>
      </c>
      <c r="J31" s="34" t="inlineStr">
        <is>
          <t>비이온 셀룰로오스 에테르</t>
        </is>
      </c>
      <c r="K31" s="34" t="inlineStr">
        <is>
          <t>분말</t>
        </is>
      </c>
      <c r="L31" s="34" t="inlineStr">
        <is>
          <t>백색</t>
        </is>
      </c>
      <c r="M31" s="34" t="inlineStr">
        <is>
          <t>무취</t>
        </is>
      </c>
      <c r="N31" s="34" t="inlineStr">
        <is>
          <t>수용성(수화 지연형)</t>
        </is>
      </c>
      <c r="O31" s="34" t="inlineStr">
        <is>
          <t>A상, 분산 후 가온·pH↑로 수화</t>
        </is>
      </c>
      <c r="P31" s="34" t="inlineStr">
        <is>
          <t>매끈, 잔탄보다 실끈↓</t>
        </is>
      </c>
      <c r="Q31" s="34" t="inlineStr">
        <is>
          <t>부드럽게 퍼짐</t>
        </is>
      </c>
      <c r="R31" s="34" t="inlineStr">
        <is>
          <t>거의 안 남음</t>
        </is>
      </c>
      <c r="S31" s="34" t="inlineStr">
        <is>
          <t>0.5~1.5%</t>
        </is>
      </c>
      <c r="T31" s="34" t="inlineStr">
        <is>
          <t>pH 2~12, 전해질에 강함(비이온)</t>
        </is>
      </c>
      <c r="U31" s="34" t="inlineStr">
        <is>
          <t>아연·염 많은 처방에서 카보머 대신. 잔탄과 1:1 혼용 = 텍스처 개선</t>
        </is>
      </c>
      <c r="V31" s="34" t="inlineStr">
        <is>
          <t>₩10,000~15,000/100g</t>
        </is>
      </c>
      <c r="W31" s="37" t="inlineStr">
        <is>
          <t>★★★☆☆</t>
        </is>
      </c>
      <c r="X31" s="34" t="inlineStr">
        <is>
          <t>방습</t>
        </is>
      </c>
      <c r="Y31" s="34" t="inlineStr">
        <is>
          <t>제한 없음</t>
        </is>
      </c>
      <c r="Z31" s="34" t="inlineStr">
        <is>
          <t>비이온 점증제(전해질 내성)</t>
        </is>
      </c>
      <c r="AA31" s="34" t="inlineStr">
        <is>
          <t>카보머·잔탄검</t>
        </is>
      </c>
      <c r="AB31" s="34" t="inlineStr">
        <is>
          <t>전해질 있는데 투명·매끈하게 → HEC</t>
        </is>
      </c>
      <c r="AC31" s="34" t="inlineStr">
        <is>
          <t>(구매 시) 아연피카 1% 넣은 카보머 vs HEC 젤 점도 비교</t>
        </is>
      </c>
      <c r="AD31" s="34" t="inlineStr">
        <is>
          <t>기본</t>
        </is>
      </c>
      <c r="AE31" s="38" t="n"/>
      <c r="AF31" s="39" t="n"/>
      <c r="AG31" s="38" t="n"/>
    </row>
    <row r="32" ht="92" customHeight="1">
      <c r="A32" s="40" t="n">
        <v>28</v>
      </c>
      <c r="B32" s="41" t="inlineStr">
        <is>
          <t>스클레로튬검</t>
        </is>
      </c>
      <c r="C32" s="34" t="inlineStr">
        <is>
          <t>Sclerotium Gum</t>
        </is>
      </c>
      <c r="D32" s="37" t="inlineStr">
        <is>
          <t>–</t>
        </is>
      </c>
      <c r="E32" s="42" t="inlineStr">
        <is>
          <t>점증</t>
        </is>
      </c>
      <c r="F32" s="34" t="inlineStr">
        <is>
          <t>유화 안정·크리미 젤</t>
        </is>
      </c>
      <c r="G32" s="34" t="inlineStr">
        <is>
          <t>발효</t>
        </is>
      </c>
      <c r="H32" s="34" t="inlineStr">
        <is>
          <t>당(포도당)</t>
        </is>
      </c>
      <c r="I32" s="34" t="inlineStr">
        <is>
          <t>Sclerotium rolfsii 균 발효 → 정제</t>
        </is>
      </c>
      <c r="J32" s="34" t="inlineStr">
        <is>
          <t>비이온 다당류(β-글루칸계)</t>
        </is>
      </c>
      <c r="K32" s="34" t="inlineStr">
        <is>
          <t>분말</t>
        </is>
      </c>
      <c r="L32" s="34" t="inlineStr">
        <is>
          <t>미백</t>
        </is>
      </c>
      <c r="M32" s="34" t="inlineStr">
        <is>
          <t>거의 무취</t>
        </is>
      </c>
      <c r="N32" s="34" t="inlineStr">
        <is>
          <t>수용성</t>
        </is>
      </c>
      <c r="O32" s="34" t="inlineStr">
        <is>
          <t>A상, 가온 분산</t>
        </is>
      </c>
      <c r="P32" s="34" t="inlineStr">
        <is>
          <t>부드럽고 덜 끈적, 크림 같은 젤</t>
        </is>
      </c>
      <c r="Q32" s="34" t="inlineStr">
        <is>
          <t>잘 퍼짐</t>
        </is>
      </c>
      <c r="R32" s="34" t="inlineStr">
        <is>
          <t>보들</t>
        </is>
      </c>
      <c r="S32" s="34" t="inlineStr">
        <is>
          <t>0.5~1.5%</t>
        </is>
      </c>
      <c r="T32" s="34" t="inlineStr">
        <is>
          <t>pH 3~11, 전해질 강함</t>
        </is>
      </c>
      <c r="U32" s="34" t="inlineStr">
        <is>
          <t>잔탄 실끈이 싫을 때 대체·혼용</t>
        </is>
      </c>
      <c r="V32" s="34" t="inlineStr">
        <is>
          <t>₩20,000~30,000/100g</t>
        </is>
      </c>
      <c r="W32" s="37" t="inlineStr">
        <is>
          <t>★★☆☆☆</t>
        </is>
      </c>
      <c r="X32" s="34" t="inlineStr">
        <is>
          <t>방습</t>
        </is>
      </c>
      <c r="Y32" s="34" t="inlineStr">
        <is>
          <t>제한 없음</t>
        </is>
      </c>
      <c r="Z32" s="34" t="inlineStr">
        <is>
          <t>천연 유래 다당 점증제</t>
        </is>
      </c>
      <c r="AA32" s="34" t="inlineStr">
        <is>
          <t>잔탄검·HEC</t>
        </is>
      </c>
      <c r="AB32" s="34" t="inlineStr">
        <is>
          <t>천연 포지션 + 실끈 없음. 비싸고 구하기 어려움</t>
        </is>
      </c>
      <c r="AC32" s="34" t="inlineStr">
        <is>
          <t>(구매 시) 잔탄 0.4% vs 스클레로튬 0.8% 실끈 비교</t>
        </is>
      </c>
      <c r="AD32" s="34" t="inlineStr">
        <is>
          <t>기본</t>
        </is>
      </c>
      <c r="AE32" s="38" t="n"/>
      <c r="AF32" s="39" t="n"/>
      <c r="AG32" s="38" t="n"/>
    </row>
    <row r="33" ht="92" customHeight="1">
      <c r="A33" s="40" t="n">
        <v>29</v>
      </c>
      <c r="B33" s="41" t="inlineStr">
        <is>
          <t>세피노브 EMT10</t>
        </is>
      </c>
      <c r="C33" s="34" t="inlineStr">
        <is>
          <t>Hydroxyethyl Acrylate/Sodium Acryloyldimethyl Taurate Copolymer</t>
        </is>
      </c>
      <c r="D33" s="37" t="inlineStr">
        <is>
          <t>–</t>
        </is>
      </c>
      <c r="E33" s="42" t="inlineStr">
        <is>
          <t>점증</t>
        </is>
      </c>
      <c r="F33" s="34" t="inlineStr">
        <is>
          <t>냉간 젤크림·유상 안정(유화 보조)</t>
        </is>
      </c>
      <c r="G33" s="34" t="inlineStr">
        <is>
          <t>합성</t>
        </is>
      </c>
      <c r="H33" s="34" t="inlineStr">
        <is>
          <t>석유 단량체</t>
        </is>
      </c>
      <c r="I33" s="34" t="inlineStr">
        <is>
          <t>역상 중합 → 분말</t>
        </is>
      </c>
      <c r="J33" s="34" t="inlineStr">
        <is>
          <t>아크릴레이트 코폴리머</t>
        </is>
      </c>
      <c r="K33" s="34" t="inlineStr">
        <is>
          <t>분말</t>
        </is>
      </c>
      <c r="L33" s="34" t="inlineStr">
        <is>
          <t>백색</t>
        </is>
      </c>
      <c r="M33" s="34" t="inlineStr">
        <is>
          <t>무취</t>
        </is>
      </c>
      <c r="N33" s="34" t="inlineStr">
        <is>
          <t>물에 바로 팽윤(중화 불필요)</t>
        </is>
      </c>
      <c r="O33" s="34" t="inlineStr">
        <is>
          <t>냉간, 어느 상이든</t>
        </is>
      </c>
      <c r="P33" s="34" t="inlineStr">
        <is>
          <t>탱글·쿠션, 산뜻</t>
        </is>
      </c>
      <c r="Q33" s="34" t="inlineStr">
        <is>
          <t>가볍게 퍼짐</t>
        </is>
      </c>
      <c r="R33" s="34" t="inlineStr">
        <is>
          <t>거의 안 남음</t>
        </is>
      </c>
      <c r="S33" s="34" t="inlineStr">
        <is>
          <t>0.5~2%</t>
        </is>
      </c>
      <c r="T33" s="34" t="inlineStr">
        <is>
          <t>pH 3~12, 전해질 비교적 강함</t>
        </is>
      </c>
      <c r="U33" s="34" t="inlineStr">
        <is>
          <t>오일 10~20% 정도를 유화제 없이 잡아줌 → 초간단 젤크림</t>
        </is>
      </c>
      <c r="V33" s="34" t="inlineStr">
        <is>
          <t>₩20,000~35,000/100g</t>
        </is>
      </c>
      <c r="W33" s="37" t="inlineStr">
        <is>
          <t>★★☆☆☆</t>
        </is>
      </c>
      <c r="X33" s="34" t="inlineStr">
        <is>
          <t>방습</t>
        </is>
      </c>
      <c r="Y33" s="34" t="inlineStr">
        <is>
          <t>제한 없음</t>
        </is>
      </c>
      <c r="Z33" s="34" t="inlineStr">
        <is>
          <t>—(실무 원료)</t>
        </is>
      </c>
      <c r="AA33" s="34" t="inlineStr">
        <is>
          <t>카보머·시뮬젤</t>
        </is>
      </c>
      <c r="AB33" s="34" t="inlineStr">
        <is>
          <t>'가열 없이' 젤크림. 합성이라 천연 포지션 X</t>
        </is>
      </c>
      <c r="AC33" s="34" t="inlineStr">
        <is>
          <t>(구매 시) 정제수+1%+MCT 10% 섞기만 해서 젤크림 되는지 확인</t>
        </is>
      </c>
      <c r="AD33" s="34" t="inlineStr">
        <is>
          <t>기본</t>
        </is>
      </c>
      <c r="AE33" s="38" t="n"/>
      <c r="AF33" s="39" t="n"/>
      <c r="AG33" s="38" t="n"/>
    </row>
    <row r="34" ht="92" customHeight="1">
      <c r="A34" s="40" t="n">
        <v>30</v>
      </c>
      <c r="B34" s="41" t="inlineStr">
        <is>
          <t>Ultrez 20 (카보머 차세대)</t>
        </is>
      </c>
      <c r="C34" s="34" t="inlineStr">
        <is>
          <t>Acrylates/C10-30 Alkyl Acrylate Crosspolymer</t>
        </is>
      </c>
      <c r="D34" s="37" t="inlineStr">
        <is>
          <t>–</t>
        </is>
      </c>
      <c r="E34" s="42" t="inlineStr">
        <is>
          <t>점증</t>
        </is>
      </c>
      <c r="F34" s="34" t="inlineStr">
        <is>
          <t>투명 젤·유화 안정(소수성 개질)</t>
        </is>
      </c>
      <c r="G34" s="34" t="inlineStr">
        <is>
          <t>합성</t>
        </is>
      </c>
      <c r="H34" s="34" t="inlineStr">
        <is>
          <t>아크릴산 + 장쇄 알킬 아크릴레이트</t>
        </is>
      </c>
      <c r="I34" s="34" t="inlineStr">
        <is>
          <t>가교 중합 → 분말</t>
        </is>
      </c>
      <c r="J34" s="34" t="inlineStr">
        <is>
          <t>소수성 개질 카보머</t>
        </is>
      </c>
      <c r="K34" s="34" t="inlineStr">
        <is>
          <t>분말</t>
        </is>
      </c>
      <c r="L34" s="34" t="inlineStr">
        <is>
          <t>백색</t>
        </is>
      </c>
      <c r="M34" s="34" t="inlineStr">
        <is>
          <t>약한 산취</t>
        </is>
      </c>
      <c r="N34" s="34" t="inlineStr">
        <is>
          <t>물에 뿌리면 스스로 젖음(뭉침 적음)</t>
        </is>
      </c>
      <c r="O34" s="34" t="inlineStr">
        <is>
          <t>A상 분산 → 중화</t>
        </is>
      </c>
      <c r="P34" s="34" t="inlineStr">
        <is>
          <t>탱글·카보머보다 부드러움</t>
        </is>
      </c>
      <c r="Q34" s="34" t="inlineStr">
        <is>
          <t>가볍게</t>
        </is>
      </c>
      <c r="R34" s="34" t="inlineStr">
        <is>
          <t>거의 안 남음</t>
        </is>
      </c>
      <c r="S34" s="34" t="inlineStr">
        <is>
          <t>0.1~0.5%</t>
        </is>
      </c>
      <c r="T34" s="34" t="inlineStr">
        <is>
          <t>중화 pH 5.5~7.5, 카보머보다 전해질 약간 강함</t>
        </is>
      </c>
      <c r="U34" s="34" t="inlineStr">
        <is>
          <t>소량 오일도 유화제 없이 잡아줌(폴리머 유화)</t>
        </is>
      </c>
      <c r="V34" s="34" t="inlineStr">
        <is>
          <t>₩20,000~/100g</t>
        </is>
      </c>
      <c r="W34" s="37" t="inlineStr">
        <is>
          <t>★★☆☆☆</t>
        </is>
      </c>
      <c r="X34" s="34" t="inlineStr">
        <is>
          <t>밀봉</t>
        </is>
      </c>
      <c r="Y34" s="34" t="inlineStr">
        <is>
          <t>제한 없음</t>
        </is>
      </c>
      <c r="Z34" s="34" t="inlineStr">
        <is>
          <t>—</t>
        </is>
      </c>
      <c r="AA34" s="34" t="inlineStr">
        <is>
          <t>카보머·세피노브</t>
        </is>
      </c>
      <c r="AB34" s="34" t="inlineStr">
        <is>
          <t>카보머 분산이 귀찮으면 Ultrez. 가격↑</t>
        </is>
      </c>
      <c r="AC34" s="34" t="inlineStr">
        <is>
          <t>—(카보머 실험 후 차이 공부)</t>
        </is>
      </c>
      <c r="AD34" s="34" t="inlineStr">
        <is>
          <t>도감 기능성</t>
        </is>
      </c>
      <c r="AE34" s="38" t="n"/>
      <c r="AF34" s="39" t="n"/>
      <c r="AG34" s="38" t="n"/>
    </row>
    <row r="35" ht="92" customHeight="1">
      <c r="A35" s="40" t="n">
        <v>31</v>
      </c>
      <c r="B35" s="41" t="inlineStr">
        <is>
          <t>소듐폴리아크릴레이트</t>
        </is>
      </c>
      <c r="C35" s="34" t="inlineStr">
        <is>
          <t>Sodium Polyacrylate</t>
        </is>
      </c>
      <c r="D35" s="37" t="inlineStr">
        <is>
          <t>–</t>
        </is>
      </c>
      <c r="E35" s="42" t="inlineStr">
        <is>
          <t>점증</t>
        </is>
      </c>
      <c r="F35" s="34" t="inlineStr">
        <is>
          <t>즉시 점증·유화 보조</t>
        </is>
      </c>
      <c r="G35" s="34" t="inlineStr">
        <is>
          <t>합성</t>
        </is>
      </c>
      <c r="H35" s="34" t="inlineStr">
        <is>
          <t>아크릴산</t>
        </is>
      </c>
      <c r="I35" s="34" t="inlineStr">
        <is>
          <t>중합 + 사전 중화(나트륨염)</t>
        </is>
      </c>
      <c r="J35" s="34" t="inlineStr">
        <is>
          <t>폴리아크릴레이트 염</t>
        </is>
      </c>
      <c r="K35" s="34" t="inlineStr">
        <is>
          <t>분말/역상 액</t>
        </is>
      </c>
      <c r="L35" s="34" t="inlineStr">
        <is>
          <t>백색</t>
        </is>
      </c>
      <c r="M35" s="34" t="inlineStr">
        <is>
          <t>무취</t>
        </is>
      </c>
      <c r="N35" s="34" t="inlineStr">
        <is>
          <t>물에 바로 팽윤</t>
        </is>
      </c>
      <c r="O35" s="34" t="inlineStr">
        <is>
          <t>냉간</t>
        </is>
      </c>
      <c r="P35" s="34" t="inlineStr">
        <is>
          <t>쿠션·젤</t>
        </is>
      </c>
      <c r="Q35" s="34" t="inlineStr">
        <is>
          <t>가볍게</t>
        </is>
      </c>
      <c r="R35" s="34" t="inlineStr">
        <is>
          <t>거의 안 남음</t>
        </is>
      </c>
      <c r="S35" s="34" t="inlineStr">
        <is>
          <t>0.3~1%</t>
        </is>
      </c>
      <c r="T35" s="34" t="inlineStr">
        <is>
          <t>pH 넓음, 전해질에 약함</t>
        </is>
      </c>
      <c r="U35" s="34" t="inlineStr">
        <is>
          <t>중화 불필요 → 초보 젤크림 쉬움</t>
        </is>
      </c>
      <c r="V35" s="34" t="inlineStr">
        <is>
          <t>₩15,000/100g</t>
        </is>
      </c>
      <c r="W35" s="37" t="inlineStr">
        <is>
          <t>★★☆☆☆</t>
        </is>
      </c>
      <c r="X35" s="34" t="inlineStr">
        <is>
          <t>방습</t>
        </is>
      </c>
      <c r="Y35" s="34" t="inlineStr">
        <is>
          <t>제한 없음</t>
        </is>
      </c>
      <c r="Z35" s="34" t="inlineStr">
        <is>
          <t>—</t>
        </is>
      </c>
      <c r="AA35" s="34" t="inlineStr">
        <is>
          <t>카보머·세피노브</t>
        </is>
      </c>
      <c r="AB35" s="34" t="inlineStr">
        <is>
          <t>가열·중화 없이 바로 젤</t>
        </is>
      </c>
      <c r="AC35" s="34" t="inlineStr">
        <is>
          <t>—</t>
        </is>
      </c>
      <c r="AD35" s="34" t="inlineStr">
        <is>
          <t>도감 기능성</t>
        </is>
      </c>
      <c r="AE35" s="38" t="n"/>
      <c r="AF35" s="39" t="n"/>
      <c r="AG35" s="38" t="n"/>
    </row>
    <row r="36" ht="92" customHeight="1">
      <c r="A36" s="40" t="n">
        <v>32</v>
      </c>
      <c r="B36" s="41" t="inlineStr">
        <is>
          <t>셀룰로오스검(CMC)</t>
        </is>
      </c>
      <c r="C36" s="34" t="inlineStr">
        <is>
          <t>Cellulose Gum</t>
        </is>
      </c>
      <c r="D36" s="37" t="inlineStr">
        <is>
          <t>–</t>
        </is>
      </c>
      <c r="E36" s="42" t="inlineStr">
        <is>
          <t>점증</t>
        </is>
      </c>
      <c r="F36" s="34" t="inlineStr">
        <is>
          <t>점증·현탁</t>
        </is>
      </c>
      <c r="G36" s="34" t="inlineStr">
        <is>
          <t>식물+합성</t>
        </is>
      </c>
      <c r="H36" s="34" t="inlineStr">
        <is>
          <t>목재 펄프 셀룰로오스</t>
        </is>
      </c>
      <c r="I36" s="34" t="inlineStr">
        <is>
          <t>셀룰로오스 + 모노클로로아세트산 → 나트륨염</t>
        </is>
      </c>
      <c r="J36" s="34" t="inlineStr">
        <is>
          <t>음이온 셀룰로오스 유도체</t>
        </is>
      </c>
      <c r="K36" s="34" t="inlineStr">
        <is>
          <t>분말</t>
        </is>
      </c>
      <c r="L36" s="34" t="inlineStr">
        <is>
          <t>백색</t>
        </is>
      </c>
      <c r="M36" s="34" t="inlineStr">
        <is>
          <t>무취</t>
        </is>
      </c>
      <c r="N36" s="34" t="inlineStr">
        <is>
          <t>수용성</t>
        </is>
      </c>
      <c r="O36" s="34" t="inlineStr">
        <is>
          <t>A상, 선분산</t>
        </is>
      </c>
      <c r="P36" s="34" t="inlineStr">
        <is>
          <t>매끈·약간 끈적</t>
        </is>
      </c>
      <c r="Q36" s="34" t="inlineStr">
        <is>
          <t>중간</t>
        </is>
      </c>
      <c r="R36" s="34" t="inlineStr">
        <is>
          <t>얇은 막</t>
        </is>
      </c>
      <c r="S36" s="34" t="inlineStr">
        <is>
          <t>0.5~2%</t>
        </is>
      </c>
      <c r="T36" s="34" t="inlineStr">
        <is>
          <t>pH 4~10</t>
        </is>
      </c>
      <c r="U36" s="34" t="inlineStr">
        <is>
          <t>치약·세정제 단골. 저가</t>
        </is>
      </c>
      <c r="V36" s="34" t="inlineStr">
        <is>
          <t>₩6,000/100g</t>
        </is>
      </c>
      <c r="W36" s="37" t="inlineStr">
        <is>
          <t>★★★☆☆</t>
        </is>
      </c>
      <c r="X36" s="34" t="inlineStr">
        <is>
          <t>방습</t>
        </is>
      </c>
      <c r="Y36" s="34" t="inlineStr">
        <is>
          <t>제한 없음</t>
        </is>
      </c>
      <c r="Z36" s="34" t="inlineStr">
        <is>
          <t>—</t>
        </is>
      </c>
      <c r="AA36" s="34" t="inlineStr">
        <is>
          <t>잔탄검·HEC</t>
        </is>
      </c>
      <c r="AB36" s="34" t="inlineStr">
        <is>
          <t>싸고 무난. 스킨케어엔 HEC가 더 매끈</t>
        </is>
      </c>
      <c r="AC36" s="34" t="inlineStr">
        <is>
          <t>—</t>
        </is>
      </c>
      <c r="AD36" s="34" t="inlineStr">
        <is>
          <t>도감 기능성</t>
        </is>
      </c>
      <c r="AE36" s="38" t="n"/>
      <c r="AF36" s="39" t="n"/>
      <c r="AG36" s="38" t="n"/>
    </row>
    <row r="37" ht="92" customHeight="1">
      <c r="A37" s="40" t="n">
        <v>33</v>
      </c>
      <c r="B37" s="41" t="inlineStr">
        <is>
          <t>마그네슘알루미늄실리케이트(Veegum)</t>
        </is>
      </c>
      <c r="C37" s="34" t="inlineStr">
        <is>
          <t>Magnesium Aluminum Silicate</t>
        </is>
      </c>
      <c r="D37" s="37" t="inlineStr">
        <is>
          <t>–</t>
        </is>
      </c>
      <c r="E37" s="42" t="inlineStr">
        <is>
          <t>점증</t>
        </is>
      </c>
      <c r="F37" s="34" t="inlineStr">
        <is>
          <t>현탁(분말 침강 방지)·매트</t>
        </is>
      </c>
      <c r="G37" s="34" t="inlineStr">
        <is>
          <t>광물</t>
        </is>
      </c>
      <c r="H37" s="34" t="inlineStr">
        <is>
          <t>스멕타이트 점토</t>
        </is>
      </c>
      <c r="I37" s="34" t="inlineStr">
        <is>
          <t>채굴 → 정제·수비 → 건조</t>
        </is>
      </c>
      <c r="J37" s="34" t="inlineStr">
        <is>
          <t>점토 광물</t>
        </is>
      </c>
      <c r="K37" s="34" t="inlineStr">
        <is>
          <t>분말/플레이크</t>
        </is>
      </c>
      <c r="L37" s="34" t="inlineStr">
        <is>
          <t>백색~회백</t>
        </is>
      </c>
      <c r="M37" s="34" t="inlineStr">
        <is>
          <t>약한 흙냄새</t>
        </is>
      </c>
      <c r="N37" s="34" t="inlineStr">
        <is>
          <t>물에 팽윤(분산)</t>
        </is>
      </c>
      <c r="O37" s="34" t="inlineStr">
        <is>
          <t>A상, 고속 교반 + 가온</t>
        </is>
      </c>
      <c r="P37" s="34" t="inlineStr">
        <is>
          <t>보송·약간 매트</t>
        </is>
      </c>
      <c r="Q37" s="34" t="inlineStr">
        <is>
          <t>중간</t>
        </is>
      </c>
      <c r="R37" s="34" t="inlineStr">
        <is>
          <t>매트</t>
        </is>
      </c>
      <c r="S37" s="34" t="inlineStr">
        <is>
          <t>0.5~2%</t>
        </is>
      </c>
      <c r="T37" s="34" t="inlineStr">
        <is>
          <t>pH 6~10</t>
        </is>
      </c>
      <c r="U37" s="34" t="inlineStr">
        <is>
          <t>잔탄과 1:1~2:1 병용 시 시너지(점도↑·실끈↓)</t>
        </is>
      </c>
      <c r="V37" s="34" t="inlineStr">
        <is>
          <t>₩15,000/100g</t>
        </is>
      </c>
      <c r="W37" s="37" t="inlineStr">
        <is>
          <t>★★☆☆☆</t>
        </is>
      </c>
      <c r="X37" s="34" t="inlineStr">
        <is>
          <t>방습</t>
        </is>
      </c>
      <c r="Y37" s="34" t="inlineStr">
        <is>
          <t>제한 없음 / 안전기준 중금속(점토)</t>
        </is>
      </c>
      <c r="Z37" s="34" t="inlineStr">
        <is>
          <t>—</t>
        </is>
      </c>
      <c r="AA37" s="34" t="inlineStr">
        <is>
          <t>벤토나이트·잔탄검</t>
        </is>
      </c>
      <c r="AB37" s="34" t="inlineStr">
        <is>
          <t>선크림·팩에 분말 가라앉지 않게</t>
        </is>
      </c>
      <c r="AC37" s="34" t="inlineStr">
        <is>
          <t>—</t>
        </is>
      </c>
      <c r="AD37" s="34" t="inlineStr">
        <is>
          <t>도감 기능성</t>
        </is>
      </c>
      <c r="AE37" s="38" t="n"/>
      <c r="AF37" s="39" t="n"/>
      <c r="AG37" s="38" t="n"/>
    </row>
    <row r="38" ht="92" customHeight="1">
      <c r="A38" s="40" t="n">
        <v>34</v>
      </c>
      <c r="B38" s="41" t="inlineStr">
        <is>
          <t>하이드록시프로필구아</t>
        </is>
      </c>
      <c r="C38" s="34" t="inlineStr">
        <is>
          <t>Hydroxypropyl Guar</t>
        </is>
      </c>
      <c r="D38" s="37" t="inlineStr">
        <is>
          <t>–</t>
        </is>
      </c>
      <c r="E38" s="42" t="inlineStr">
        <is>
          <t>점증</t>
        </is>
      </c>
      <c r="F38" s="34" t="inlineStr">
        <is>
          <t>컨디셔닝·샴푸 점증</t>
        </is>
      </c>
      <c r="G38" s="34" t="inlineStr">
        <is>
          <t>식물+합성</t>
        </is>
      </c>
      <c r="H38" s="34" t="inlineStr">
        <is>
          <t>구아콩(인도)</t>
        </is>
      </c>
      <c r="I38" s="34" t="inlineStr">
        <is>
          <t>구아검 + 프로필렌옥사이드 반응</t>
        </is>
      </c>
      <c r="J38" s="34" t="inlineStr">
        <is>
          <t>갈락토만난 유도체</t>
        </is>
      </c>
      <c r="K38" s="34" t="inlineStr">
        <is>
          <t>분말</t>
        </is>
      </c>
      <c r="L38" s="34" t="inlineStr">
        <is>
          <t>미황</t>
        </is>
      </c>
      <c r="M38" s="34" t="inlineStr">
        <is>
          <t>약한 콩 냄새</t>
        </is>
      </c>
      <c r="N38" s="34" t="inlineStr">
        <is>
          <t>수용성</t>
        </is>
      </c>
      <c r="O38" s="34" t="inlineStr">
        <is>
          <t>A상</t>
        </is>
      </c>
      <c r="P38" s="34" t="inlineStr">
        <is>
          <t>미끈·컨디셔닝</t>
        </is>
      </c>
      <c r="Q38" s="34" t="inlineStr">
        <is>
          <t>좋음</t>
        </is>
      </c>
      <c r="R38" s="34" t="inlineStr">
        <is>
          <t>부드러움</t>
        </is>
      </c>
      <c r="S38" s="34" t="inlineStr">
        <is>
          <t>0.3~1%</t>
        </is>
      </c>
      <c r="T38" s="34" t="inlineStr">
        <is>
          <t>pH 4~9</t>
        </is>
      </c>
      <c r="U38" s="34" t="inlineStr">
        <is>
          <t>샴푸·바디워시 헤어 엉킴↓. 투명도 낮음</t>
        </is>
      </c>
      <c r="V38" s="34" t="inlineStr">
        <is>
          <t>₩15,000/100g</t>
        </is>
      </c>
      <c r="W38" s="37" t="inlineStr">
        <is>
          <t>★★☆☆☆</t>
        </is>
      </c>
      <c r="X38" s="34" t="inlineStr">
        <is>
          <t>방습</t>
        </is>
      </c>
      <c r="Y38" s="34" t="inlineStr">
        <is>
          <t>제한 없음</t>
        </is>
      </c>
      <c r="Z38" s="34" t="inlineStr">
        <is>
          <t>—</t>
        </is>
      </c>
      <c r="AA38" s="34" t="inlineStr">
        <is>
          <t>폴리쿼터늄-10·잔탄</t>
        </is>
      </c>
      <c r="AB38" s="34" t="inlineStr">
        <is>
          <t>세정제 점증+컨디셔닝 겸용</t>
        </is>
      </c>
      <c r="AC38" s="34" t="inlineStr">
        <is>
          <t>—</t>
        </is>
      </c>
      <c r="AD38" s="34" t="inlineStr">
        <is>
          <t>도감 기능성</t>
        </is>
      </c>
      <c r="AE38" s="38" t="n"/>
      <c r="AF38" s="39" t="n"/>
      <c r="AG38" s="38" t="n"/>
    </row>
    <row r="39" ht="92" customHeight="1">
      <c r="A39" s="40" t="n">
        <v>35</v>
      </c>
      <c r="B39" s="41" t="inlineStr">
        <is>
          <t>하이셀</t>
        </is>
      </c>
      <c r="C39" s="34" t="inlineStr">
        <is>
          <t>(예) Hydroxyethylcellulose 또는 Hydroxypropyl Methylcellulose — TDS 확인</t>
        </is>
      </c>
      <c r="D39" s="37" t="inlineStr">
        <is>
          <t>–</t>
        </is>
      </c>
      <c r="E39" s="42" t="inlineStr">
        <is>
          <t>점증</t>
        </is>
      </c>
      <c r="F39" s="34" t="inlineStr">
        <is>
          <t>투명 젤·세정제 점도</t>
        </is>
      </c>
      <c r="G39" s="34" t="inlineStr">
        <is>
          <t>식물+합성</t>
        </is>
      </c>
      <c r="H39" s="34" t="inlineStr">
        <is>
          <t>목재 펄프·면 셀룰로오스</t>
        </is>
      </c>
      <c r="I39" s="34" t="inlineStr">
        <is>
          <t>셀룰로오스 에테르화(판매처 상품명)</t>
        </is>
      </c>
      <c r="J39" s="34" t="inlineStr">
        <is>
          <t>비이온 셀룰로오스 에테르</t>
        </is>
      </c>
      <c r="K39" s="34" t="inlineStr">
        <is>
          <t>분말</t>
        </is>
      </c>
      <c r="L39" s="34" t="inlineStr">
        <is>
          <t>백색</t>
        </is>
      </c>
      <c r="M39" s="34" t="inlineStr">
        <is>
          <t>무취</t>
        </is>
      </c>
      <c r="N39" s="34" t="inlineStr">
        <is>
          <t>수용성(뭉침 주의)</t>
        </is>
      </c>
      <c r="O39" s="34" t="inlineStr">
        <is>
          <t>A상, 분산 후 수화(가온 또는 pH↑)</t>
        </is>
      </c>
      <c r="P39" s="34" t="inlineStr">
        <is>
          <t>매끈·투명, 잔탄보다 실끈↓</t>
        </is>
      </c>
      <c r="Q39" s="34" t="inlineStr">
        <is>
          <t>부드럽게 퍼짐</t>
        </is>
      </c>
      <c r="R39" s="34" t="inlineStr">
        <is>
          <t>거의 안 남음</t>
        </is>
      </c>
      <c r="S39" s="34" t="inlineStr">
        <is>
          <t>0.5~1.5%</t>
        </is>
      </c>
      <c r="T39" s="34" t="inlineStr">
        <is>
          <t>pH 2~12, 전해질 강함(비이온)</t>
        </is>
      </c>
      <c r="U39" s="34" t="inlineStr">
        <is>
          <t>상품명 원료의 정체를 '설명'으로 추정하는 연습 사례 — 투명·비이온·셀룰로오스 = HEC/HPMC</t>
        </is>
      </c>
      <c r="V39" s="34" t="inlineStr">
        <is>
          <t>₩8,000/50g</t>
        </is>
      </c>
      <c r="W39" s="37" t="inlineStr">
        <is>
          <t>★★★★★</t>
        </is>
      </c>
      <c r="X39" s="34" t="inlineStr">
        <is>
          <t>방습</t>
        </is>
      </c>
      <c r="Y39" s="34" t="inlineStr">
        <is>
          <t>제한 없음</t>
        </is>
      </c>
      <c r="Z39" s="34" t="inlineStr">
        <is>
          <t>—</t>
        </is>
      </c>
      <c r="AA39" s="34" t="inlineStr">
        <is>
          <t>하이드록시에틸셀룰로오스(HEC)·잔탄검</t>
        </is>
      </c>
      <c r="AB39" s="34" t="inlineStr">
        <is>
          <t>HEC 카드와 같은 원료일 가능성 큼 → TDS로 확인하면 카드 하나로 정리</t>
        </is>
      </c>
      <c r="AC39" s="34" t="inlineStr">
        <is>
          <t>하이셀 1% 젤 vs 잔탄 0.4% 젤 — 투명도·실끈 비교</t>
        </is>
      </c>
      <c r="AD39" s="34" t="inlineStr">
        <is>
          <t>허브누리</t>
        </is>
      </c>
      <c r="AE39" s="38" t="n"/>
      <c r="AF39" s="39" t="n"/>
      <c r="AG39" s="38" t="n"/>
    </row>
    <row r="40" ht="92" customHeight="1">
      <c r="A40" s="43" t="n">
        <v>36</v>
      </c>
      <c r="B40" s="44" t="inlineStr">
        <is>
          <t>몬타노브68</t>
        </is>
      </c>
      <c r="C40" s="34" t="inlineStr">
        <is>
          <t>Cetearyl Alcohol &amp; Cetearyl Glucoside</t>
        </is>
      </c>
      <c r="D40" s="35" t="inlineStr">
        <is>
          <t>✓</t>
        </is>
      </c>
      <c r="E40" s="45" t="inlineStr">
        <is>
          <t>유화</t>
        </is>
      </c>
      <c r="F40" s="34" t="inlineStr">
        <is>
          <t>액정(라멜라) 형성·바디감</t>
        </is>
      </c>
      <c r="G40" s="34" t="inlineStr">
        <is>
          <t>식물</t>
        </is>
      </c>
      <c r="H40" s="34" t="inlineStr">
        <is>
          <t>팜/코코넛 지방알코올 + 옥수수 포도당</t>
        </is>
      </c>
      <c r="I40" s="34" t="inlineStr">
        <is>
          <t>지방알코올과 포도당 글리코실화 → 플레이크화 (SEPPIC)</t>
        </is>
      </c>
      <c r="J40" s="34" t="inlineStr">
        <is>
          <t>비이온 글루코사이드 유화제</t>
        </is>
      </c>
      <c r="K40" s="34" t="inlineStr">
        <is>
          <t>플레이크/펠릿</t>
        </is>
      </c>
      <c r="L40" s="34" t="inlineStr">
        <is>
          <t>백색</t>
        </is>
      </c>
      <c r="M40" s="34" t="inlineStr">
        <is>
          <t>약한 왁스취</t>
        </is>
      </c>
      <c r="N40" s="34" t="inlineStr">
        <is>
          <t>유용성(유상)</t>
        </is>
      </c>
      <c r="O40" s="34" t="inlineStr">
        <is>
          <t>B상 75~80℃ 완전 용해</t>
        </is>
      </c>
      <c r="P40" s="34" t="inlineStr">
        <is>
          <t>쫀쫀·두께감, 약간 무거움</t>
        </is>
      </c>
      <c r="Q40" s="34" t="inlineStr">
        <is>
          <t>중간, 펴바르면 하얘짐(소핑)</t>
        </is>
      </c>
      <c r="R40" s="34" t="inlineStr">
        <is>
          <t>보들·촉촉, 장벽 느낌</t>
        </is>
      </c>
      <c r="S40" s="34" t="inlineStr">
        <is>
          <t>3~5%</t>
        </is>
      </c>
      <c r="T40" s="34" t="inlineStr">
        <is>
          <t>pH 3~9, 전해질 비교적 강함</t>
        </is>
      </c>
      <c r="U40" s="34" t="inlineStr">
        <is>
          <t>소핑(하얘짐) → 디메치콘 1~2%로 감소. 고점도로 굳는 데 24h</t>
        </is>
      </c>
      <c r="V40" s="34" t="inlineStr">
        <is>
          <t>₩15,000~25,000/100g</t>
        </is>
      </c>
      <c r="W40" s="37" t="inlineStr">
        <is>
          <t>★★★☆☆</t>
        </is>
      </c>
      <c r="X40" s="34" t="inlineStr">
        <is>
          <t>서늘·밀폐</t>
        </is>
      </c>
      <c r="Y40" s="34" t="inlineStr">
        <is>
          <t>제한 없음</t>
        </is>
      </c>
      <c r="Z40" s="34" t="inlineStr">
        <is>
          <t>O/W 유화제, 비이온 계면활성제</t>
        </is>
      </c>
      <c r="AA40" s="34" t="inlineStr">
        <is>
          <t>올리벰1000·폴라왁스·Tego Care 450</t>
        </is>
      </c>
      <c r="AB40" s="34" t="inlineStr">
        <is>
          <t>저자극·액정·말라세지아 세이프 → 히어로 크림. 가벼움이 필요하면 Tego Care</t>
        </is>
      </c>
      <c r="AC40" s="34" t="inlineStr">
        <is>
          <t>4% 크림 손등에 넓게 펴 바르며 하얘지는 '소핑' 관찰 → 디메치콘 추가본과 비교</t>
        </is>
      </c>
      <c r="AD40" s="34" t="inlineStr">
        <is>
          <t>기본</t>
        </is>
      </c>
      <c r="AE40" s="38" t="n"/>
      <c r="AF40" s="39" t="n"/>
      <c r="AG40" s="38" t="n"/>
    </row>
    <row r="41" ht="92" customHeight="1">
      <c r="A41" s="43" t="n">
        <v>37</v>
      </c>
      <c r="B41" s="44" t="inlineStr">
        <is>
          <t>올리브유화왁스(올리벰1000)</t>
        </is>
      </c>
      <c r="C41" s="34" t="inlineStr">
        <is>
          <t>Cetearyl Olivate &amp; Sorbitan Olivate</t>
        </is>
      </c>
      <c r="D41" s="35" t="inlineStr">
        <is>
          <t>✓</t>
        </is>
      </c>
      <c r="E41" s="45" t="inlineStr">
        <is>
          <t>유화</t>
        </is>
      </c>
      <c r="F41" s="34" t="inlineStr">
        <is>
          <t>액정 형성·에몰리언트</t>
        </is>
      </c>
      <c r="G41" s="34" t="inlineStr">
        <is>
          <t>식물</t>
        </is>
      </c>
      <c r="H41" s="34" t="inlineStr">
        <is>
          <t>올리브유 지방산</t>
        </is>
      </c>
      <c r="I41" s="34" t="inlineStr">
        <is>
          <t>올리브유 지방산 + 세테아릴알코올/소르비탄 에스터화 (B&amp;T)</t>
        </is>
      </c>
      <c r="J41" s="34" t="inlineStr">
        <is>
          <t>비이온 PEG-free 유화제</t>
        </is>
      </c>
      <c r="K41" s="34" t="inlineStr">
        <is>
          <t>플레이크</t>
        </is>
      </c>
      <c r="L41" s="34" t="inlineStr">
        <is>
          <t>백색~연노랑</t>
        </is>
      </c>
      <c r="M41" s="34" t="inlineStr">
        <is>
          <t>약한 지방취</t>
        </is>
      </c>
      <c r="N41" s="34" t="inlineStr">
        <is>
          <t>유용성</t>
        </is>
      </c>
      <c r="O41" s="34" t="inlineStr">
        <is>
          <t>B상 70~80℃</t>
        </is>
      </c>
      <c r="P41" s="34" t="inlineStr">
        <is>
          <t>실키·보송, 몬타노브보다 가벼움</t>
        </is>
      </c>
      <c r="Q41" s="34" t="inlineStr">
        <is>
          <t>잘 퍼짐</t>
        </is>
      </c>
      <c r="R41" s="34" t="inlineStr">
        <is>
          <t>보송·매끈</t>
        </is>
      </c>
      <c r="S41" s="34" t="inlineStr">
        <is>
          <t>2~6%</t>
        </is>
      </c>
      <c r="T41" s="34" t="inlineStr">
        <is>
          <t>pH 4~8, 강전해질·고%산엔 약함</t>
        </is>
      </c>
      <c r="U41" s="34" t="inlineStr">
        <is>
          <t>냉각 중 계속 저어야 점도 안정. 올리브 지방산 → 말라세지아 회색지대</t>
        </is>
      </c>
      <c r="V41" s="34" t="inlineStr">
        <is>
          <t>₩10,000~20,000/100g</t>
        </is>
      </c>
      <c r="W41" s="37" t="inlineStr">
        <is>
          <t>★★★★★</t>
        </is>
      </c>
      <c r="X41" s="34" t="inlineStr">
        <is>
          <t>서늘</t>
        </is>
      </c>
      <c r="Y41" s="34" t="inlineStr">
        <is>
          <t>제한 없음</t>
        </is>
      </c>
      <c r="Z41" s="34" t="inlineStr">
        <is>
          <t>천연 유래 O/W 유화제</t>
        </is>
      </c>
      <c r="AA41" s="34" t="inlineStr">
        <is>
          <t>몬타노브68·GMS SE</t>
        </is>
      </c>
      <c r="AB41" s="34" t="inlineStr">
        <is>
          <t>허브누리 레시피 최다 등장 = 정보 많음. 산뜻 로션용</t>
        </is>
      </c>
      <c r="AC41" s="34" t="inlineStr">
        <is>
          <t>같은 4%로 몬타노브 vs 올리벰 크림 2개 만들어 무게감·흡수 비교</t>
        </is>
      </c>
      <c r="AD41" s="34" t="inlineStr">
        <is>
          <t>기본</t>
        </is>
      </c>
      <c r="AE41" s="38" t="n"/>
      <c r="AF41" s="39" t="n"/>
      <c r="AG41" s="38" t="n"/>
    </row>
    <row r="42" ht="92" customHeight="1">
      <c r="A42" s="43" t="n">
        <v>38</v>
      </c>
      <c r="B42" s="44" t="inlineStr">
        <is>
          <t>세틸알코올</t>
        </is>
      </c>
      <c r="C42" s="34" t="inlineStr">
        <is>
          <t>Cetyl Alcohol</t>
        </is>
      </c>
      <c r="D42" s="35" t="inlineStr">
        <is>
          <t>✓</t>
        </is>
      </c>
      <c r="E42" s="45" t="inlineStr">
        <is>
          <t>유화</t>
        </is>
      </c>
      <c r="F42" s="34" t="inlineStr">
        <is>
          <t>공유화제·점증·벨벳감</t>
        </is>
      </c>
      <c r="G42" s="34" t="inlineStr">
        <is>
          <t>식물</t>
        </is>
      </c>
      <c r="H42" s="34" t="inlineStr">
        <is>
          <t>팜/코코넛유</t>
        </is>
      </c>
      <c r="I42" s="34" t="inlineStr">
        <is>
          <t>지방산 → 수소화 환원 → 지방알코올 → 플레이크</t>
        </is>
      </c>
      <c r="J42" s="34" t="inlineStr">
        <is>
          <t>C16 지방알코올</t>
        </is>
      </c>
      <c r="K42" s="34" t="inlineStr">
        <is>
          <t>플레이크</t>
        </is>
      </c>
      <c r="L42" s="34" t="inlineStr">
        <is>
          <t>백색</t>
        </is>
      </c>
      <c r="M42" s="34" t="inlineStr">
        <is>
          <t>거의 무취</t>
        </is>
      </c>
      <c r="N42" s="34" t="inlineStr">
        <is>
          <t>유용성</t>
        </is>
      </c>
      <c r="O42" s="34" t="inlineStr">
        <is>
          <t>B상(녹는점 ~49℃)</t>
        </is>
      </c>
      <c r="P42" s="34" t="inlineStr">
        <is>
          <t>벨벳·쿠션, 두께↑</t>
        </is>
      </c>
      <c r="Q42" s="34" t="inlineStr">
        <is>
          <t>약간 뻑뻑해짐</t>
        </is>
      </c>
      <c r="R42" s="34" t="inlineStr">
        <is>
          <t>보송, 고%면 하얘짐</t>
        </is>
      </c>
      <c r="S42" s="34" t="inlineStr">
        <is>
          <t>1~3%</t>
        </is>
      </c>
      <c r="T42" s="34" t="inlineStr">
        <is>
          <t>안정</t>
        </is>
      </c>
      <c r="U42" s="34" t="inlineStr">
        <is>
          <t>소핑 원인 중 하나. 너무 넣으면 굳고 뭉침</t>
        </is>
      </c>
      <c r="V42" s="34" t="inlineStr">
        <is>
          <t>₩5,000~10,000/250g</t>
        </is>
      </c>
      <c r="W42" s="37" t="inlineStr">
        <is>
          <t>★★★★★</t>
        </is>
      </c>
      <c r="X42" s="34" t="inlineStr">
        <is>
          <t>서늘</t>
        </is>
      </c>
      <c r="Y42" s="34" t="inlineStr">
        <is>
          <t>제한 없음</t>
        </is>
      </c>
      <c r="Z42" s="34" t="inlineStr">
        <is>
          <t>'알코올'이지만 건조시키는 에탄올과 다름 — 지방알코올</t>
        </is>
      </c>
      <c r="AA42" s="34" t="inlineStr">
        <is>
          <t>세테아릴알코올·스테아릴알코올</t>
        </is>
      </c>
      <c r="AB42" s="34" t="inlineStr">
        <is>
          <t>점도 미세조정의 1차 레버. 0.5% 단위로 조정</t>
        </is>
      </c>
      <c r="AC42" s="34" t="inlineStr">
        <is>
          <t>같은 크림에 세틸 1% vs 3% → 점도·하얘짐 비교</t>
        </is>
      </c>
      <c r="AD42" s="34" t="inlineStr">
        <is>
          <t>기본</t>
        </is>
      </c>
      <c r="AE42" s="38" t="n"/>
      <c r="AF42" s="39" t="n"/>
      <c r="AG42" s="38" t="n"/>
    </row>
    <row r="43" ht="92" customHeight="1">
      <c r="A43" s="43" t="n">
        <v>39</v>
      </c>
      <c r="B43" s="44" t="inlineStr">
        <is>
          <t>폴라왁스(이멀시파잉 왁스 NF)</t>
        </is>
      </c>
      <c r="C43" s="34" t="inlineStr">
        <is>
          <t>Cetearyl Alcohol &amp; Polysorbate 60 (+PEG-150 Stearate 등)</t>
        </is>
      </c>
      <c r="D43" s="37" t="inlineStr">
        <is>
          <t>–</t>
        </is>
      </c>
      <c r="E43" s="45" t="inlineStr">
        <is>
          <t>유화</t>
        </is>
      </c>
      <c r="F43" s="34" t="inlineStr">
        <is>
          <t>범용 O/W</t>
        </is>
      </c>
      <c r="G43" s="34" t="inlineStr">
        <is>
          <t>합성+식물</t>
        </is>
      </c>
      <c r="H43" s="34" t="inlineStr">
        <is>
          <t>지방알코올 + PEG/폴리소르베이트</t>
        </is>
      </c>
      <c r="I43" s="34" t="inlineStr">
        <is>
          <t>지방알코올과 에톡실화 유화제 블렌딩</t>
        </is>
      </c>
      <c r="J43" s="34" t="inlineStr">
        <is>
          <t>비이온(PEG계) 유화제</t>
        </is>
      </c>
      <c r="K43" s="34" t="inlineStr">
        <is>
          <t>플레이크</t>
        </is>
      </c>
      <c r="L43" s="34" t="inlineStr">
        <is>
          <t>백색</t>
        </is>
      </c>
      <c r="M43" s="34" t="inlineStr">
        <is>
          <t>거의 무취</t>
        </is>
      </c>
      <c r="N43" s="34" t="inlineStr">
        <is>
          <t>유용성</t>
        </is>
      </c>
      <c r="O43" s="34" t="inlineStr">
        <is>
          <t>B상 70~75℃</t>
        </is>
      </c>
      <c r="P43" s="34" t="inlineStr">
        <is>
          <t>무난·쫀쫀</t>
        </is>
      </c>
      <c r="Q43" s="34" t="inlineStr">
        <is>
          <t>좋음</t>
        </is>
      </c>
      <c r="R43" s="34" t="inlineStr">
        <is>
          <t>약간 매끈</t>
        </is>
      </c>
      <c r="S43" s="34" t="inlineStr">
        <is>
          <t>3~6%</t>
        </is>
      </c>
      <c r="T43" s="34" t="inlineStr">
        <is>
          <t>pH 넓음, 매우 안정</t>
        </is>
      </c>
      <c r="U43" s="34" t="inlineStr">
        <is>
          <t>실패 거의 없음. 단 PEG계 → '천연' 포지션과 충돌</t>
        </is>
      </c>
      <c r="V43" s="34" t="inlineStr">
        <is>
          <t>₩8,000~12,000/100g</t>
        </is>
      </c>
      <c r="W43" s="37" t="inlineStr">
        <is>
          <t>★★★★☆</t>
        </is>
      </c>
      <c r="X43" s="34" t="inlineStr">
        <is>
          <t>서늘</t>
        </is>
      </c>
      <c r="Y43" s="34" t="inlineStr">
        <is>
          <t>제한 없음</t>
        </is>
      </c>
      <c r="Z43" s="34" t="inlineStr">
        <is>
          <t>에톡실화(PEG) 성분 — 1,4-다이옥산 이슈 개념</t>
        </is>
      </c>
      <c r="AA43" s="34" t="inlineStr">
        <is>
          <t>몬타노브68·올리벰</t>
        </is>
      </c>
      <c r="AB43" s="34" t="inlineStr">
        <is>
          <t>입문 연습용 안정성 최고. 브랜드 제품엔 PEG-free 선택</t>
        </is>
      </c>
      <c r="AC43" s="34" t="inlineStr">
        <is>
          <t>(구매 시) 같은 처방을 폴라왁스로 → 분리 테스트 대조군</t>
        </is>
      </c>
      <c r="AD43" s="34" t="inlineStr">
        <is>
          <t>기본</t>
        </is>
      </c>
      <c r="AE43" s="38" t="n"/>
      <c r="AF43" s="39" t="n"/>
      <c r="AG43" s="38" t="n"/>
    </row>
    <row r="44" ht="92" customHeight="1">
      <c r="A44" s="43" t="n">
        <v>40</v>
      </c>
      <c r="B44" s="44" t="inlineStr">
        <is>
          <t>GMS SE</t>
        </is>
      </c>
      <c r="C44" s="34" t="inlineStr">
        <is>
          <t>Glyceryl Stearate SE</t>
        </is>
      </c>
      <c r="D44" s="37" t="inlineStr">
        <is>
          <t>–</t>
        </is>
      </c>
      <c r="E44" s="45" t="inlineStr">
        <is>
          <t>유화</t>
        </is>
      </c>
      <c r="F44" s="34" t="inlineStr">
        <is>
          <t>공유화·바디감</t>
        </is>
      </c>
      <c r="G44" s="34" t="inlineStr">
        <is>
          <t>식물</t>
        </is>
      </c>
      <c r="H44" s="34" t="inlineStr">
        <is>
          <t>팜/대두 스테아르산 + 글리세린</t>
        </is>
      </c>
      <c r="I44" s="34" t="inlineStr">
        <is>
          <t>에스터화 + 소량 비누(K/Na 스테아레이트) 함유(SE)</t>
        </is>
      </c>
      <c r="J44" s="34" t="inlineStr">
        <is>
          <t>모노글리세라이드(음이온 성향)</t>
        </is>
      </c>
      <c r="K44" s="34" t="inlineStr">
        <is>
          <t>플레이크</t>
        </is>
      </c>
      <c r="L44" s="34" t="inlineStr">
        <is>
          <t>백색</t>
        </is>
      </c>
      <c r="M44" s="34" t="inlineStr">
        <is>
          <t>약한 지방취</t>
        </is>
      </c>
      <c r="N44" s="34" t="inlineStr">
        <is>
          <t>유용성</t>
        </is>
      </c>
      <c r="O44" s="34" t="inlineStr">
        <is>
          <t>B상 70~80℃</t>
        </is>
      </c>
      <c r="P44" s="34" t="inlineStr">
        <is>
          <t>부드러운 크림감</t>
        </is>
      </c>
      <c r="Q44" s="34" t="inlineStr">
        <is>
          <t>중간</t>
        </is>
      </c>
      <c r="R44" s="34" t="inlineStr">
        <is>
          <t>보들</t>
        </is>
      </c>
      <c r="S44" s="34" t="inlineStr">
        <is>
          <t>2~4%</t>
        </is>
      </c>
      <c r="T44" s="34" t="inlineStr">
        <is>
          <t>pH 5.5↑ 권장(산에서 불안정)</t>
        </is>
      </c>
      <c r="U44" s="34" t="inlineStr">
        <is>
          <t>단독보단 보조. 저pH 처방엔 비SE(GMS)+다른 유화제</t>
        </is>
      </c>
      <c r="V44" s="34" t="inlineStr">
        <is>
          <t>₩6,000~10,000/100g</t>
        </is>
      </c>
      <c r="W44" s="37" t="inlineStr">
        <is>
          <t>★★★★☆</t>
        </is>
      </c>
      <c r="X44" s="34" t="inlineStr">
        <is>
          <t>서늘</t>
        </is>
      </c>
      <c r="Y44" s="34" t="inlineStr">
        <is>
          <t>제한 없음</t>
        </is>
      </c>
      <c r="Z44" s="34" t="inlineStr">
        <is>
          <t>SE=자기유화형(비누 포함)</t>
        </is>
      </c>
      <c r="AA44" s="34" t="inlineStr">
        <is>
          <t>몬타노브·세틸알코올</t>
        </is>
      </c>
      <c r="AB44" s="34" t="inlineStr">
        <is>
          <t>크림 바디 보강용 값싼 보조 유화제</t>
        </is>
      </c>
      <c r="AC44" s="34" t="inlineStr">
        <is>
          <t>(구매 시) 몬타노브 3%+GMS 1% vs 몬타노브 4%</t>
        </is>
      </c>
      <c r="AD44" s="34" t="inlineStr">
        <is>
          <t>기본</t>
        </is>
      </c>
      <c r="AE44" s="38" t="n"/>
      <c r="AF44" s="39" t="n"/>
      <c r="AG44" s="38" t="n"/>
    </row>
    <row r="45" ht="92" customHeight="1">
      <c r="A45" s="43" t="n">
        <v>41</v>
      </c>
      <c r="B45" s="44" t="inlineStr">
        <is>
          <t>레시틴</t>
        </is>
      </c>
      <c r="C45" s="34" t="inlineStr">
        <is>
          <t>Lecithin</t>
        </is>
      </c>
      <c r="D45" s="37" t="inlineStr">
        <is>
          <t>–</t>
        </is>
      </c>
      <c r="E45" s="45" t="inlineStr">
        <is>
          <t>유화</t>
        </is>
      </c>
      <c r="F45" s="34" t="inlineStr">
        <is>
          <t>리포좀·보조 유화·피부 유연</t>
        </is>
      </c>
      <c r="G45" s="34" t="inlineStr">
        <is>
          <t>식물</t>
        </is>
      </c>
      <c r="H45" s="34" t="inlineStr">
        <is>
          <t>대두·해바라기유</t>
        </is>
      </c>
      <c r="I45" s="34" t="inlineStr">
        <is>
          <t>오일 정제 중 탈검(degumming) 부산물 → 건조</t>
        </is>
      </c>
      <c r="J45" s="34" t="inlineStr">
        <is>
          <t>인지질</t>
        </is>
      </c>
      <c r="K45" s="34" t="inlineStr">
        <is>
          <t>점성 액/과립</t>
        </is>
      </c>
      <c r="L45" s="34" t="inlineStr">
        <is>
          <t>갈색~호박색</t>
        </is>
      </c>
      <c r="M45" s="34" t="inlineStr">
        <is>
          <t>콩·견과 냄새</t>
        </is>
      </c>
      <c r="N45" s="34" t="inlineStr">
        <is>
          <t>유용성(물에 분산)</t>
        </is>
      </c>
      <c r="O45" s="34" t="inlineStr">
        <is>
          <t>B상 or 수상 분산</t>
        </is>
      </c>
      <c r="P45" s="34" t="inlineStr">
        <is>
          <t>부드럽고 촉촉</t>
        </is>
      </c>
      <c r="Q45" s="34" t="inlineStr">
        <is>
          <t>중간</t>
        </is>
      </c>
      <c r="R45" s="34" t="inlineStr">
        <is>
          <t>약간 끈적</t>
        </is>
      </c>
      <c r="S45" s="34" t="inlineStr">
        <is>
          <t>0.5~3%</t>
        </is>
      </c>
      <c r="T45" s="34" t="inlineStr">
        <is>
          <t>산화·갈변 쉬움</t>
        </is>
      </c>
      <c r="U45" s="34" t="inlineStr">
        <is>
          <t>색·냄새가 제품에 드러남. 수소첨가 레시틴은 흰색·안정</t>
        </is>
      </c>
      <c r="V45" s="34" t="inlineStr">
        <is>
          <t>₩8,000~15,000/100g</t>
        </is>
      </c>
      <c r="W45" s="37" t="inlineStr">
        <is>
          <t>★★★☆☆</t>
        </is>
      </c>
      <c r="X45" s="34" t="inlineStr">
        <is>
          <t>냉장·차광</t>
        </is>
      </c>
      <c r="Y45" s="34" t="inlineStr">
        <is>
          <t>제한 없음</t>
        </is>
      </c>
      <c r="Z45" s="34" t="inlineStr">
        <is>
          <t>인지질 → 리포좀(캡슐화) 개념</t>
        </is>
      </c>
      <c r="AA45" s="34" t="inlineStr">
        <is>
          <t>폴리글리세릴 유화제</t>
        </is>
      </c>
      <c r="AB45" s="34" t="inlineStr">
        <is>
          <t>천연·세포막 스토리. 단독 유화력 약함</t>
        </is>
      </c>
      <c r="AC45" s="34" t="inlineStr">
        <is>
          <t>(구매 시) 레시틴 냄새·색을 손으로 확인 → 왜 수소첨가형을 쓰나</t>
        </is>
      </c>
      <c r="AD45" s="34" t="inlineStr">
        <is>
          <t>기본</t>
        </is>
      </c>
      <c r="AE45" s="38" t="n"/>
      <c r="AF45" s="39" t="n"/>
      <c r="AG45" s="38" t="n"/>
    </row>
    <row r="46" ht="92" customHeight="1">
      <c r="A46" s="43" t="n">
        <v>42</v>
      </c>
      <c r="B46" s="44" t="inlineStr">
        <is>
          <t>Tego Care 450</t>
        </is>
      </c>
      <c r="C46" s="34" t="inlineStr">
        <is>
          <t>Polyglyceryl-3 Methylglucose Distearate</t>
        </is>
      </c>
      <c r="D46" s="37" t="inlineStr">
        <is>
          <t>–</t>
        </is>
      </c>
      <c r="E46" s="45" t="inlineStr">
        <is>
          <t>유화</t>
        </is>
      </c>
      <c r="F46" s="34" t="inlineStr">
        <is>
          <t>가벼운 O/W</t>
        </is>
      </c>
      <c r="G46" s="34" t="inlineStr">
        <is>
          <t>식물</t>
        </is>
      </c>
      <c r="H46" s="34" t="inlineStr">
        <is>
          <t>폴리글리세린 + 메틸글루코오스 + 스테아르산</t>
        </is>
      </c>
      <c r="I46" s="34" t="inlineStr">
        <is>
          <t>에스터화 (Evonik)</t>
        </is>
      </c>
      <c r="J46" s="34" t="inlineStr">
        <is>
          <t>비이온 PEG-free</t>
        </is>
      </c>
      <c r="K46" s="34" t="inlineStr">
        <is>
          <t>플레이크</t>
        </is>
      </c>
      <c r="L46" s="34" t="inlineStr">
        <is>
          <t>백색</t>
        </is>
      </c>
      <c r="M46" s="34" t="inlineStr">
        <is>
          <t>무취</t>
        </is>
      </c>
      <c r="N46" s="34" t="inlineStr">
        <is>
          <t>유용성</t>
        </is>
      </c>
      <c r="O46" s="34" t="inlineStr">
        <is>
          <t>B상 75~80℃</t>
        </is>
      </c>
      <c r="P46" s="34" t="inlineStr">
        <is>
          <t>가볍고 산뜻한 로션</t>
        </is>
      </c>
      <c r="Q46" s="34" t="inlineStr">
        <is>
          <t>잘 퍼짐</t>
        </is>
      </c>
      <c r="R46" s="34" t="inlineStr">
        <is>
          <t>거의 안 남음</t>
        </is>
      </c>
      <c r="S46" s="34" t="inlineStr">
        <is>
          <t>2~4%</t>
        </is>
      </c>
      <c r="T46" s="34" t="inlineStr">
        <is>
          <t>pH 4~8</t>
        </is>
      </c>
      <c r="U46" s="34" t="inlineStr">
        <is>
          <t>세틸알코올 1~2%로 점도 보강</t>
        </is>
      </c>
      <c r="V46" s="34" t="inlineStr">
        <is>
          <t>₩20,000~30,000/100g</t>
        </is>
      </c>
      <c r="W46" s="37" t="inlineStr">
        <is>
          <t>★★☆☆☆</t>
        </is>
      </c>
      <c r="X46" s="34" t="inlineStr">
        <is>
          <t>서늘</t>
        </is>
      </c>
      <c r="Y46" s="34" t="inlineStr">
        <is>
          <t>제한 없음</t>
        </is>
      </c>
      <c r="Z46" s="34" t="inlineStr">
        <is>
          <t>PEG-free 유화제</t>
        </is>
      </c>
      <c r="AA46" s="34" t="inlineStr">
        <is>
          <t>몬타노브68·올리벰</t>
        </is>
      </c>
      <c r="AB46" s="34" t="inlineStr">
        <is>
          <t>'산뜻한 데일리 로션' 유화제. 몬타노브보다 가볍다</t>
        </is>
      </c>
      <c r="AC46" s="34" t="inlineStr">
        <is>
          <t>—(미보유) 전성분에서 찾아보기: 'Polyglyceryl-3 Methylglucose'</t>
        </is>
      </c>
      <c r="AD46" s="34" t="inlineStr">
        <is>
          <t>기본</t>
        </is>
      </c>
      <c r="AE46" s="38" t="n"/>
      <c r="AF46" s="39" t="n"/>
      <c r="AG46" s="38" t="n"/>
    </row>
    <row r="47" ht="92" customHeight="1">
      <c r="A47" s="43" t="n">
        <v>43</v>
      </c>
      <c r="B47" s="44" t="inlineStr">
        <is>
          <t>포타슘세틸포스페이트</t>
        </is>
      </c>
      <c r="C47" s="34" t="inlineStr">
        <is>
          <t>Potassium Cetyl Phosphate</t>
        </is>
      </c>
      <c r="D47" s="37" t="inlineStr">
        <is>
          <t>–</t>
        </is>
      </c>
      <c r="E47" s="45" t="inlineStr">
        <is>
          <t>유화</t>
        </is>
      </c>
      <c r="F47" s="34" t="inlineStr">
        <is>
          <t>보조 유화·선크림 안정</t>
        </is>
      </c>
      <c r="G47" s="34" t="inlineStr">
        <is>
          <t>합성(식물 지방알코올)</t>
        </is>
      </c>
      <c r="H47" s="34" t="inlineStr">
        <is>
          <t>세틸알코올 + 인산</t>
        </is>
      </c>
      <c r="I47" s="34" t="inlineStr">
        <is>
          <t>인산 에스터화 → 칼륨 중화</t>
        </is>
      </c>
      <c r="J47" s="34" t="inlineStr">
        <is>
          <t>음이온 인산에스터</t>
        </is>
      </c>
      <c r="K47" s="34" t="inlineStr">
        <is>
          <t>분말</t>
        </is>
      </c>
      <c r="L47" s="34" t="inlineStr">
        <is>
          <t>백색</t>
        </is>
      </c>
      <c r="M47" s="34" t="inlineStr">
        <is>
          <t>무취</t>
        </is>
      </c>
      <c r="N47" s="34" t="inlineStr">
        <is>
          <t>유상/수상 분산</t>
        </is>
      </c>
      <c r="O47" s="34" t="inlineStr">
        <is>
          <t>B상</t>
        </is>
      </c>
      <c r="P47" s="34" t="inlineStr">
        <is>
          <t>가벼움</t>
        </is>
      </c>
      <c r="Q47" s="34" t="inlineStr">
        <is>
          <t>좋음</t>
        </is>
      </c>
      <c r="R47" s="34" t="inlineStr">
        <is>
          <t>산뜻</t>
        </is>
      </c>
      <c r="S47" s="34" t="inlineStr">
        <is>
          <t>0.5~2%</t>
        </is>
      </c>
      <c r="T47" s="34" t="inlineStr">
        <is>
          <t>pH 5~8</t>
        </is>
      </c>
      <c r="U47" s="34" t="inlineStr">
        <is>
          <t>무기 자외선차단제(징크) 분산 안정에 강함</t>
        </is>
      </c>
      <c r="V47" s="34" t="inlineStr">
        <is>
          <t>₩30,000~/100g</t>
        </is>
      </c>
      <c r="W47" s="37" t="inlineStr">
        <is>
          <t>★☆☆☆☆</t>
        </is>
      </c>
      <c r="X47" s="34" t="inlineStr">
        <is>
          <t>방습</t>
        </is>
      </c>
      <c r="Y47" s="34" t="inlineStr">
        <is>
          <t>제한 없음</t>
        </is>
      </c>
      <c r="Z47" s="34" t="inlineStr">
        <is>
          <t>—</t>
        </is>
      </c>
      <c r="AA47" s="34" t="inlineStr">
        <is>
          <t>GMS SE</t>
        </is>
      </c>
      <c r="AB47" s="34" t="inlineStr">
        <is>
          <t>선크림·고유상 처방 안정성 보험</t>
        </is>
      </c>
      <c r="AC47" s="34" t="inlineStr">
        <is>
          <t>—(전문 원료) 선크림 전성분에서 확인</t>
        </is>
      </c>
      <c r="AD47" s="34" t="inlineStr">
        <is>
          <t>기본</t>
        </is>
      </c>
      <c r="AE47" s="38" t="n"/>
      <c r="AF47" s="39" t="n"/>
      <c r="AG47" s="38" t="n"/>
    </row>
    <row r="48" ht="92" customHeight="1">
      <c r="A48" s="43" t="n">
        <v>44</v>
      </c>
      <c r="B48" s="44" t="inlineStr">
        <is>
          <t>세테아릴알코올</t>
        </is>
      </c>
      <c r="C48" s="34" t="inlineStr">
        <is>
          <t>Cetearyl Alcohol</t>
        </is>
      </c>
      <c r="D48" s="37" t="inlineStr">
        <is>
          <t>–</t>
        </is>
      </c>
      <c r="E48" s="45" t="inlineStr">
        <is>
          <t>유화</t>
        </is>
      </c>
      <c r="F48" s="34" t="inlineStr">
        <is>
          <t>공유화·점증</t>
        </is>
      </c>
      <c r="G48" s="34" t="inlineStr">
        <is>
          <t>식물</t>
        </is>
      </c>
      <c r="H48" s="34" t="inlineStr">
        <is>
          <t>팜/코코넛유</t>
        </is>
      </c>
      <c r="I48" s="34" t="inlineStr">
        <is>
          <t>지방산 → 수소화 환원 → C16+C18 혼합</t>
        </is>
      </c>
      <c r="J48" s="34" t="inlineStr">
        <is>
          <t>지방알코올(C16/C18)</t>
        </is>
      </c>
      <c r="K48" s="34" t="inlineStr">
        <is>
          <t>플레이크</t>
        </is>
      </c>
      <c r="L48" s="34" t="inlineStr">
        <is>
          <t>백색</t>
        </is>
      </c>
      <c r="M48" s="34" t="inlineStr">
        <is>
          <t>거의 무취</t>
        </is>
      </c>
      <c r="N48" s="34" t="inlineStr">
        <is>
          <t>유용성</t>
        </is>
      </c>
      <c r="O48" s="34" t="inlineStr">
        <is>
          <t>B상(녹는점 ~50~55℃)</t>
        </is>
      </c>
      <c r="P48" s="34" t="inlineStr">
        <is>
          <t>세틸보다 단단·풍부</t>
        </is>
      </c>
      <c r="Q48" s="34" t="inlineStr">
        <is>
          <t>약간 뻑뻑</t>
        </is>
      </c>
      <c r="R48" s="34" t="inlineStr">
        <is>
          <t>보송</t>
        </is>
      </c>
      <c r="S48" s="34" t="inlineStr">
        <is>
          <t>1~4%</t>
        </is>
      </c>
      <c r="T48" s="34" t="inlineStr">
        <is>
          <t>안정</t>
        </is>
      </c>
      <c r="U48" s="34" t="inlineStr">
        <is>
          <t>몬타노브68 안에 이미 들어 있음(성분명에 등장)</t>
        </is>
      </c>
      <c r="V48" s="34" t="inlineStr">
        <is>
          <t>₩6,000/250g</t>
        </is>
      </c>
      <c r="W48" s="37" t="inlineStr">
        <is>
          <t>★★★★☆</t>
        </is>
      </c>
      <c r="X48" s="34" t="inlineStr">
        <is>
          <t>서늘</t>
        </is>
      </c>
      <c r="Y48" s="34" t="inlineStr">
        <is>
          <t>제한 없음</t>
        </is>
      </c>
      <c r="Z48" s="34" t="inlineStr">
        <is>
          <t>지방알코올 = 비건조 '알코올'</t>
        </is>
      </c>
      <c r="AA48" s="34" t="inlineStr">
        <is>
          <t>세틸알코올·스테아릴알코올</t>
        </is>
      </c>
      <c r="AB48" s="34" t="inlineStr">
        <is>
          <t>세틸보다 점도 기여↑. 크림 바디 강화</t>
        </is>
      </c>
      <c r="AC48" s="34" t="inlineStr">
        <is>
          <t>세틸 vs 세테아릴 같은 % 크림 점도 비교</t>
        </is>
      </c>
      <c r="AD48" s="34" t="inlineStr">
        <is>
          <t>도감 기능성</t>
        </is>
      </c>
      <c r="AE48" s="38" t="n"/>
      <c r="AF48" s="39" t="n"/>
      <c r="AG48" s="38" t="n"/>
    </row>
    <row r="49" ht="92" customHeight="1">
      <c r="A49" s="43" t="n">
        <v>45</v>
      </c>
      <c r="B49" s="44" t="inlineStr">
        <is>
          <t>글리세릴스테아레이트시트레이트</t>
        </is>
      </c>
      <c r="C49" s="34" t="inlineStr">
        <is>
          <t>Glyceryl Stearate Citrate</t>
        </is>
      </c>
      <c r="D49" s="37" t="inlineStr">
        <is>
          <t>–</t>
        </is>
      </c>
      <c r="E49" s="45" t="inlineStr">
        <is>
          <t>유화</t>
        </is>
      </c>
      <c r="F49" s="34" t="inlineStr">
        <is>
          <t>PEG-free O/W</t>
        </is>
      </c>
      <c r="G49" s="34" t="inlineStr">
        <is>
          <t>식물</t>
        </is>
      </c>
      <c r="H49" s="34" t="inlineStr">
        <is>
          <t>식물 스테아르산 + 글리세린 + 구연산</t>
        </is>
      </c>
      <c r="I49" s="34" t="inlineStr">
        <is>
          <t>에스터화</t>
        </is>
      </c>
      <c r="J49" s="34" t="inlineStr">
        <is>
          <t>음이온성 모노글리세라이드 유도체</t>
        </is>
      </c>
      <c r="K49" s="34" t="inlineStr">
        <is>
          <t>플레이크</t>
        </is>
      </c>
      <c r="L49" s="34" t="inlineStr">
        <is>
          <t>백색</t>
        </is>
      </c>
      <c r="M49" s="34" t="inlineStr">
        <is>
          <t>무취</t>
        </is>
      </c>
      <c r="N49" s="34" t="inlineStr">
        <is>
          <t>유용성</t>
        </is>
      </c>
      <c r="O49" s="34" t="inlineStr">
        <is>
          <t>B상 70~80℃</t>
        </is>
      </c>
      <c r="P49" s="34" t="inlineStr">
        <is>
          <t>가볍고 촉촉</t>
        </is>
      </c>
      <c r="Q49" s="34" t="inlineStr">
        <is>
          <t>좋음</t>
        </is>
      </c>
      <c r="R49" s="34" t="inlineStr">
        <is>
          <t>산뜻</t>
        </is>
      </c>
      <c r="S49" s="34" t="inlineStr">
        <is>
          <t>2~4%</t>
        </is>
      </c>
      <c r="T49" s="34" t="inlineStr">
        <is>
          <t>pH 5~8</t>
        </is>
      </c>
      <c r="U49" s="34" t="inlineStr">
        <is>
          <t>세틸알코올 1~2%와 함께 점도 확보</t>
        </is>
      </c>
      <c r="V49" s="34" t="inlineStr">
        <is>
          <t>₩20,000/100g</t>
        </is>
      </c>
      <c r="W49" s="37" t="inlineStr">
        <is>
          <t>★★☆☆☆</t>
        </is>
      </c>
      <c r="X49" s="34" t="inlineStr">
        <is>
          <t>서늘</t>
        </is>
      </c>
      <c r="Y49" s="34" t="inlineStr">
        <is>
          <t>제한 없음</t>
        </is>
      </c>
      <c r="Z49" s="34" t="inlineStr">
        <is>
          <t>—</t>
        </is>
      </c>
      <c r="AA49" s="34" t="inlineStr">
        <is>
          <t>Tego Care 450·GMS SE</t>
        </is>
      </c>
      <c r="AB49" s="34" t="inlineStr">
        <is>
          <t>순한 PEG-free 로션용</t>
        </is>
      </c>
      <c r="AC49" s="34" t="inlineStr">
        <is>
          <t>—</t>
        </is>
      </c>
      <c r="AD49" s="34" t="inlineStr">
        <is>
          <t>도감 기능성</t>
        </is>
      </c>
      <c r="AE49" s="38" t="n"/>
      <c r="AF49" s="39" t="n"/>
      <c r="AG49" s="38" t="n"/>
    </row>
    <row r="50" ht="92" customHeight="1">
      <c r="A50" s="43" t="n">
        <v>46</v>
      </c>
      <c r="B50" s="44" t="inlineStr">
        <is>
          <t>BTMS-50</t>
        </is>
      </c>
      <c r="C50" s="34" t="inlineStr">
        <is>
          <t>Behentrimonium Methosulfate &amp; Cetearyl Alcohol &amp; Butylene Glycol</t>
        </is>
      </c>
      <c r="D50" s="37" t="inlineStr">
        <is>
          <t>–</t>
        </is>
      </c>
      <c r="E50" s="45" t="inlineStr">
        <is>
          <t>유화</t>
        </is>
      </c>
      <c r="F50" s="34" t="inlineStr">
        <is>
          <t>컨디셔닝(양이온)·헤어</t>
        </is>
      </c>
      <c r="G50" s="34" t="inlineStr">
        <is>
          <t>식물+합성</t>
        </is>
      </c>
      <c r="H50" s="34" t="inlineStr">
        <is>
          <t>유채 유래 베헨산 → 4급 암모늄</t>
        </is>
      </c>
      <c r="I50" s="34" t="inlineStr">
        <is>
          <t>4급화 반응 + 지방알코올 블렌드</t>
        </is>
      </c>
      <c r="J50" s="34" t="inlineStr">
        <is>
          <t>양이온 유화제</t>
        </is>
      </c>
      <c r="K50" s="34" t="inlineStr">
        <is>
          <t>플레이크</t>
        </is>
      </c>
      <c r="L50" s="34" t="inlineStr">
        <is>
          <t>백색</t>
        </is>
      </c>
      <c r="M50" s="34" t="inlineStr">
        <is>
          <t>약한 특유취</t>
        </is>
      </c>
      <c r="N50" s="34" t="inlineStr">
        <is>
          <t>유용성</t>
        </is>
      </c>
      <c r="O50" s="34" t="inlineStr">
        <is>
          <t>B상 75~80℃</t>
        </is>
      </c>
      <c r="P50" s="34" t="inlineStr">
        <is>
          <t>파우더리·미끈</t>
        </is>
      </c>
      <c r="Q50" s="34" t="inlineStr">
        <is>
          <t>좋음</t>
        </is>
      </c>
      <c r="R50" s="34" t="inlineStr">
        <is>
          <t>보송·실키</t>
        </is>
      </c>
      <c r="S50" s="34" t="inlineStr">
        <is>
          <t>2~6%</t>
        </is>
      </c>
      <c r="T50" s="34" t="inlineStr">
        <is>
          <t>pH 3.5~6</t>
        </is>
      </c>
      <c r="U50" s="34" t="inlineStr">
        <is>
          <t>★ 양이온 → 음이온(잔탄·카보머·SLES 등)과 상충</t>
        </is>
      </c>
      <c r="V50" s="34" t="inlineStr">
        <is>
          <t>₩15,000/100g</t>
        </is>
      </c>
      <c r="W50" s="37" t="inlineStr">
        <is>
          <t>★★★☆☆</t>
        </is>
      </c>
      <c r="X50" s="34" t="inlineStr">
        <is>
          <t>서늘</t>
        </is>
      </c>
      <c r="Y50" s="34" t="inlineStr">
        <is>
          <t>제한 없음</t>
        </is>
      </c>
      <c r="Z50" s="34" t="inlineStr">
        <is>
          <t>양이온 계면활성제 = 컨디셔닝</t>
        </is>
      </c>
      <c r="AA50" s="34" t="inlineStr">
        <is>
          <t>폴리쿼터늄-10·아모다이메치콘</t>
        </is>
      </c>
      <c r="AB50" s="34" t="inlineStr">
        <is>
          <t>헤어 컨디셔너·핸드크림 보송감</t>
        </is>
      </c>
      <c r="AC50" s="34" t="inlineStr">
        <is>
          <t>(구매 시) 머리카락 묶음에 BTMS 2% 린스 → 엉킴 비교</t>
        </is>
      </c>
      <c r="AD50" s="34" t="inlineStr">
        <is>
          <t>도감 기능성</t>
        </is>
      </c>
      <c r="AE50" s="38" t="n"/>
      <c r="AF50" s="39" t="n"/>
      <c r="AG50" s="38" t="n"/>
    </row>
    <row r="51" ht="92" customHeight="1">
      <c r="A51" s="43" t="n">
        <v>47</v>
      </c>
      <c r="B51" s="44" t="inlineStr">
        <is>
          <t>올리브리퀴드</t>
        </is>
      </c>
      <c r="C51" s="34" t="inlineStr">
        <is>
          <t>(예) Olive Oil PEG-7 Esters 계열 — TDS 확인</t>
        </is>
      </c>
      <c r="D51" s="37" t="inlineStr">
        <is>
          <t>–</t>
        </is>
      </c>
      <c r="E51" s="45" t="inlineStr">
        <is>
          <t>유화</t>
        </is>
      </c>
      <c r="F51" s="34" t="inlineStr">
        <is>
          <t>클렌징 오일 유화(물에 씻김)·가용화</t>
        </is>
      </c>
      <c r="G51" s="34" t="inlineStr">
        <is>
          <t>식물+합성</t>
        </is>
      </c>
      <c r="H51" s="34" t="inlineStr">
        <is>
          <t>올리브유</t>
        </is>
      </c>
      <c r="I51" s="34" t="inlineStr">
        <is>
          <t>올리브유 지방산 + PEG 에스터화(추정)</t>
        </is>
      </c>
      <c r="J51" s="34" t="inlineStr">
        <is>
          <t>비이온 액상 유화제</t>
        </is>
      </c>
      <c r="K51" s="34" t="inlineStr">
        <is>
          <t>액상</t>
        </is>
      </c>
      <c r="L51" s="34" t="inlineStr">
        <is>
          <t>연노랑</t>
        </is>
      </c>
      <c r="M51" s="34" t="inlineStr">
        <is>
          <t>약한 냄새</t>
        </is>
      </c>
      <c r="N51" s="34" t="inlineStr">
        <is>
          <t>유용성(물에 분산)</t>
        </is>
      </c>
      <c r="O51" s="34" t="inlineStr">
        <is>
          <t>상온 혼합</t>
        </is>
      </c>
      <c r="P51" s="34" t="inlineStr">
        <is>
          <t>가벼움</t>
        </is>
      </c>
      <c r="Q51" s="34" t="inlineStr">
        <is>
          <t>좋음</t>
        </is>
      </c>
      <c r="R51" s="34" t="inlineStr">
        <is>
          <t>물 닿으면 우유처럼</t>
        </is>
      </c>
      <c r="S51" s="34" t="inlineStr">
        <is>
          <t>클렌징 오일 5~15%</t>
        </is>
      </c>
      <c r="T51" s="34" t="inlineStr">
        <is>
          <t>안정</t>
        </is>
      </c>
      <c r="U51" s="34" t="inlineStr">
        <is>
          <t>★ 허브누리 브랜드명 → 실제 INCI 공급사 확인</t>
        </is>
      </c>
      <c r="V51" s="34" t="inlineStr">
        <is>
          <t>₩10,000/100ml</t>
        </is>
      </c>
      <c r="W51" s="37" t="inlineStr">
        <is>
          <t>★★★★☆</t>
        </is>
      </c>
      <c r="X51" s="34" t="inlineStr">
        <is>
          <t>서늘</t>
        </is>
      </c>
      <c r="Y51" s="34" t="inlineStr">
        <is>
          <t>제한 없음</t>
        </is>
      </c>
      <c r="Z51" s="34" t="inlineStr">
        <is>
          <t>유화형 클렌징 원리(물 → 유화 → 헹굼)</t>
        </is>
      </c>
      <c r="AA51" s="34" t="inlineStr">
        <is>
          <t>폴리소르베이트·폴리글리세릴 유화제</t>
        </is>
      </c>
      <c r="AB51" s="34" t="inlineStr">
        <is>
          <t>클렌징 오일의 '씻기는' 성분</t>
        </is>
      </c>
      <c r="AC51" s="34" t="inlineStr">
        <is>
          <t>오일 9 + 올리브리퀴드 1 → 손에 물 묻혀 유화되는지</t>
        </is>
      </c>
      <c r="AD51" s="34" t="inlineStr">
        <is>
          <t>허브누리</t>
        </is>
      </c>
      <c r="AE51" s="38" t="n"/>
      <c r="AF51" s="39" t="n"/>
      <c r="AG51" s="38" t="n"/>
    </row>
    <row r="52" ht="92" customHeight="1">
      <c r="A52" s="43" t="n">
        <v>48</v>
      </c>
      <c r="B52" s="44" t="inlineStr">
        <is>
          <t>GMS (글리세릴스테아레이트)</t>
        </is>
      </c>
      <c r="C52" s="34" t="inlineStr">
        <is>
          <t>Glyceryl Stearate</t>
        </is>
      </c>
      <c r="D52" s="37" t="inlineStr">
        <is>
          <t>–</t>
        </is>
      </c>
      <c r="E52" s="45" t="inlineStr">
        <is>
          <t>유화</t>
        </is>
      </c>
      <c r="F52" s="34" t="inlineStr">
        <is>
          <t>보조 유화·바디감</t>
        </is>
      </c>
      <c r="G52" s="34" t="inlineStr">
        <is>
          <t>식물</t>
        </is>
      </c>
      <c r="H52" s="34" t="inlineStr">
        <is>
          <t>스테아르산 + 글리세린</t>
        </is>
      </c>
      <c r="I52" s="34" t="inlineStr">
        <is>
          <t>에스터화(비누 미함유)</t>
        </is>
      </c>
      <c r="J52" s="34" t="inlineStr">
        <is>
          <t>비이온 모노글리세라이드</t>
        </is>
      </c>
      <c r="K52" s="34" t="inlineStr">
        <is>
          <t>플레이크</t>
        </is>
      </c>
      <c r="L52" s="34" t="inlineStr">
        <is>
          <t>백색</t>
        </is>
      </c>
      <c r="M52" s="34" t="inlineStr">
        <is>
          <t>약한 지방취</t>
        </is>
      </c>
      <c r="N52" s="34" t="inlineStr">
        <is>
          <t>유용성</t>
        </is>
      </c>
      <c r="O52" s="34" t="inlineStr">
        <is>
          <t>B상 70~80℃</t>
        </is>
      </c>
      <c r="P52" s="34" t="inlineStr">
        <is>
          <t>부드러운 크림감</t>
        </is>
      </c>
      <c r="Q52" s="34" t="inlineStr">
        <is>
          <t>중간</t>
        </is>
      </c>
      <c r="R52" s="34" t="inlineStr">
        <is>
          <t>보들</t>
        </is>
      </c>
      <c r="S52" s="34" t="inlineStr">
        <is>
          <t>1~4%</t>
        </is>
      </c>
      <c r="T52" s="34" t="inlineStr">
        <is>
          <t>pH 넓음(SE보다 산에 강함)</t>
        </is>
      </c>
      <c r="U52" s="34" t="inlineStr">
        <is>
          <t>단독 유화력 약함 → 주 유화제와 병용</t>
        </is>
      </c>
      <c r="V52" s="34" t="inlineStr">
        <is>
          <t>₩6,000/100g</t>
        </is>
      </c>
      <c r="W52" s="37" t="inlineStr">
        <is>
          <t>★★★★☆</t>
        </is>
      </c>
      <c r="X52" s="34" t="inlineStr">
        <is>
          <t>서늘</t>
        </is>
      </c>
      <c r="Y52" s="34" t="inlineStr">
        <is>
          <t>제한 없음</t>
        </is>
      </c>
      <c r="Z52" s="34" t="inlineStr">
        <is>
          <t>SE vs 비SE 차이</t>
        </is>
      </c>
      <c r="AA52" s="34" t="inlineStr">
        <is>
          <t>GMS SE·세틸알코올</t>
        </is>
      </c>
      <c r="AB52" s="34" t="inlineStr">
        <is>
          <t>저pH 처방의 보조 유화</t>
        </is>
      </c>
      <c r="AC52" s="34" t="inlineStr">
        <is>
          <t>—</t>
        </is>
      </c>
      <c r="AD52" s="34" t="inlineStr">
        <is>
          <t>허브누리</t>
        </is>
      </c>
      <c r="AE52" s="38" t="n"/>
      <c r="AF52" s="39" t="n"/>
      <c r="AG52" s="38" t="n"/>
    </row>
    <row r="53" ht="92" customHeight="1">
      <c r="A53" s="43" t="n">
        <v>49</v>
      </c>
      <c r="B53" s="44" t="inlineStr">
        <is>
          <t>올리왁스LC</t>
        </is>
      </c>
      <c r="C53" s="34" t="inlineStr">
        <is>
          <t>(예) Cetyl Palmitate, Sorbitan Palmitate, Sorbitan Olivate — TDS 확인</t>
        </is>
      </c>
      <c r="D53" s="37" t="inlineStr">
        <is>
          <t>–</t>
        </is>
      </c>
      <c r="E53" s="45" t="inlineStr">
        <is>
          <t>유화</t>
        </is>
      </c>
      <c r="F53" s="34" t="inlineStr">
        <is>
          <t>액정 점증·보조 유화</t>
        </is>
      </c>
      <c r="G53" s="34" t="inlineStr">
        <is>
          <t>식물</t>
        </is>
      </c>
      <c r="H53" s="34" t="inlineStr">
        <is>
          <t>올리브·팜 유래 지방산</t>
        </is>
      </c>
      <c r="I53" s="34" t="inlineStr">
        <is>
          <t>에스터화 블렌드(올리벰 계열)</t>
        </is>
      </c>
      <c r="J53" s="34" t="inlineStr">
        <is>
          <t>비이온 왁스형 보조 유화제</t>
        </is>
      </c>
      <c r="K53" s="34" t="inlineStr">
        <is>
          <t>플레이크</t>
        </is>
      </c>
      <c r="L53" s="34" t="inlineStr">
        <is>
          <t>백색</t>
        </is>
      </c>
      <c r="M53" s="34" t="inlineStr">
        <is>
          <t>거의 무취</t>
        </is>
      </c>
      <c r="N53" s="34" t="inlineStr">
        <is>
          <t>유용성</t>
        </is>
      </c>
      <c r="O53" s="34" t="inlineStr">
        <is>
          <t>B상 70~80℃</t>
        </is>
      </c>
      <c r="P53" s="34" t="inlineStr">
        <is>
          <t>실키·쿠션, 점도↑</t>
        </is>
      </c>
      <c r="Q53" s="34" t="inlineStr">
        <is>
          <t>좋음</t>
        </is>
      </c>
      <c r="R53" s="34" t="inlineStr">
        <is>
          <t>보송</t>
        </is>
      </c>
      <c r="S53" s="34" t="inlineStr">
        <is>
          <t>1~2%</t>
        </is>
      </c>
      <c r="T53" s="34" t="inlineStr">
        <is>
          <t>pH 4~8</t>
        </is>
      </c>
      <c r="U53" s="34" t="inlineStr">
        <is>
          <t>올리브유화왁스와 같이 쓰면 점도·안정성↑(허브누리 다빈도)</t>
        </is>
      </c>
      <c r="V53" s="34" t="inlineStr">
        <is>
          <t>₩15,000/100g</t>
        </is>
      </c>
      <c r="W53" s="37" t="inlineStr">
        <is>
          <t>★★★★☆</t>
        </is>
      </c>
      <c r="X53" s="34" t="inlineStr">
        <is>
          <t>서늘</t>
        </is>
      </c>
      <c r="Y53" s="34" t="inlineStr">
        <is>
          <t>제한 없음</t>
        </is>
      </c>
      <c r="Z53" s="34" t="inlineStr">
        <is>
          <t>—</t>
        </is>
      </c>
      <c r="AA53" s="34" t="inlineStr">
        <is>
          <t>세틸알코올·GMS</t>
        </is>
      </c>
      <c r="AB53" s="34" t="inlineStr">
        <is>
          <t>세틸 대신 '액정형' 점증</t>
        </is>
      </c>
      <c r="AC53" s="34" t="inlineStr">
        <is>
          <t>올리벰 4% + 올리왁스 0 vs 1% 크림 점도</t>
        </is>
      </c>
      <c r="AD53" s="34" t="inlineStr">
        <is>
          <t>허브누리</t>
        </is>
      </c>
      <c r="AE53" s="38" t="n"/>
      <c r="AF53" s="39" t="n"/>
      <c r="AG53" s="38" t="n"/>
    </row>
    <row r="54" ht="92" customHeight="1">
      <c r="A54" s="46" t="n">
        <v>50</v>
      </c>
      <c r="B54" s="47" t="inlineStr">
        <is>
          <t>MCT오일</t>
        </is>
      </c>
      <c r="C54" s="34" t="inlineStr">
        <is>
          <t>Caprylic/Capric Triglyceride</t>
        </is>
      </c>
      <c r="D54" s="35" t="inlineStr">
        <is>
          <t>✓</t>
        </is>
      </c>
      <c r="E54" s="48" t="inlineStr">
        <is>
          <t>에몰리언트</t>
        </is>
      </c>
      <c r="F54" s="34" t="inlineStr">
        <is>
          <t>용제(활성·향)·발림 개선</t>
        </is>
      </c>
      <c r="G54" s="34" t="inlineStr">
        <is>
          <t>식물</t>
        </is>
      </c>
      <c r="H54" s="34" t="inlineStr">
        <is>
          <t>코코넛·팜핵유</t>
        </is>
      </c>
      <c r="I54" s="34" t="inlineStr">
        <is>
          <t>가수분해로 C8/C10 지방산 분리 → 글리세린과 재에스터화</t>
        </is>
      </c>
      <c r="J54" s="34" t="inlineStr">
        <is>
          <t>트리글리세라이드(중쇄)</t>
        </is>
      </c>
      <c r="K54" s="34" t="inlineStr">
        <is>
          <t>저점도 액상</t>
        </is>
      </c>
      <c r="L54" s="34" t="inlineStr">
        <is>
          <t>무색 투명</t>
        </is>
      </c>
      <c r="M54" s="34" t="inlineStr">
        <is>
          <t>무취</t>
        </is>
      </c>
      <c r="N54" s="34" t="inlineStr">
        <is>
          <t>유용성</t>
        </is>
      </c>
      <c r="O54" s="34" t="inlineStr">
        <is>
          <t>B상</t>
        </is>
      </c>
      <c r="P54" s="34" t="inlineStr">
        <is>
          <t>가볍고 매끈, 무겁지 않음</t>
        </is>
      </c>
      <c r="Q54" s="34" t="inlineStr">
        <is>
          <t>매우 좋음</t>
        </is>
      </c>
      <c r="R54" s="34" t="inlineStr">
        <is>
          <t>살짝 촉촉, 끈적 없음</t>
        </is>
      </c>
      <c r="S54" s="34" t="inlineStr">
        <is>
          <t>3~15%</t>
        </is>
      </c>
      <c r="T54" s="34" t="inlineStr">
        <is>
          <t>산화 매우 안정</t>
        </is>
      </c>
      <c r="U54" s="34" t="inlineStr">
        <is>
          <t>말라세지아 세이프(C8·C10). 대부분 오일 대체 가능한 '기본 오일'</t>
        </is>
      </c>
      <c r="V54" s="34" t="inlineStr">
        <is>
          <t>₩8,000~12,000/250g</t>
        </is>
      </c>
      <c r="W54" s="37" t="inlineStr">
        <is>
          <t>★★★★★</t>
        </is>
      </c>
      <c r="X54" s="34" t="inlineStr">
        <is>
          <t>서늘</t>
        </is>
      </c>
      <c r="Y54" s="34" t="inlineStr">
        <is>
          <t>제한 없음</t>
        </is>
      </c>
      <c r="Z54" s="34" t="inlineStr">
        <is>
          <t>트리글리세라이드 = 글리세린+지방산 3개</t>
        </is>
      </c>
      <c r="AA54" s="34" t="inlineStr">
        <is>
          <t>스쿠알란·코코카프릴레이트·호호바</t>
        </is>
      </c>
      <c r="AB54" s="34" t="inlineStr">
        <is>
          <t>싸고 안정·무향 → 베이스 오일 1순위</t>
        </is>
      </c>
      <c r="AC54" s="34" t="inlineStr">
        <is>
          <t>MCT·스쿠알란·호호바 한 방울씩 손등에 — 30초 뒤 퍼진 면적 비교</t>
        </is>
      </c>
      <c r="AD54" s="34" t="inlineStr">
        <is>
          <t>기본</t>
        </is>
      </c>
      <c r="AE54" s="38" t="n"/>
      <c r="AF54" s="39" t="n"/>
      <c r="AG54" s="38" t="n"/>
    </row>
    <row r="55" ht="92" customHeight="1">
      <c r="A55" s="46" t="n">
        <v>51</v>
      </c>
      <c r="B55" s="47" t="inlineStr">
        <is>
          <t>스쿠알란</t>
        </is>
      </c>
      <c r="C55" s="34" t="inlineStr">
        <is>
          <t>Squalane</t>
        </is>
      </c>
      <c r="D55" s="35" t="inlineStr">
        <is>
          <t>✓</t>
        </is>
      </c>
      <c r="E55" s="48" t="inlineStr">
        <is>
          <t>에몰리언트</t>
        </is>
      </c>
      <c r="F55" s="34" t="inlineStr">
        <is>
          <t>피지 유사·흡수감</t>
        </is>
      </c>
      <c r="G55" s="34" t="inlineStr">
        <is>
          <t>식물/발효</t>
        </is>
      </c>
      <c r="H55" s="34" t="inlineStr">
        <is>
          <t>올리브 정제 부산물 / 사탕수수 발효(파네센)</t>
        </is>
      </c>
      <c r="I55" s="34" t="inlineStr">
        <is>
          <t>스쿠알렌(불포화) → 수소화(포화) → 정제</t>
        </is>
      </c>
      <c r="J55" s="34" t="inlineStr">
        <is>
          <t>탄화수소(C30)</t>
        </is>
      </c>
      <c r="K55" s="34" t="inlineStr">
        <is>
          <t>액상</t>
        </is>
      </c>
      <c r="L55" s="34" t="inlineStr">
        <is>
          <t>무색 투명</t>
        </is>
      </c>
      <c r="M55" s="34" t="inlineStr">
        <is>
          <t>무취</t>
        </is>
      </c>
      <c r="N55" s="34" t="inlineStr">
        <is>
          <t>유용성</t>
        </is>
      </c>
      <c r="O55" s="34" t="inlineStr">
        <is>
          <t>B상 or 냉각상</t>
        </is>
      </c>
      <c r="P55" s="34" t="inlineStr">
        <is>
          <t>가볍고 실키, 빠른 흡수</t>
        </is>
      </c>
      <c r="Q55" s="34" t="inlineStr">
        <is>
          <t>좋음</t>
        </is>
      </c>
      <c r="R55" s="34" t="inlineStr">
        <is>
          <t>보송에 가까움</t>
        </is>
      </c>
      <c r="S55" s="34" t="inlineStr">
        <is>
          <t>2~10%</t>
        </is>
      </c>
      <c r="T55" s="34" t="inlineStr">
        <is>
          <t>산화 매우 안정(포화)</t>
        </is>
      </c>
      <c r="U55" s="34" t="inlineStr">
        <is>
          <t>말라세지아 세이프. 상어간 유래 아닌지 확인(동물성 X)</t>
        </is>
      </c>
      <c r="V55" s="34" t="inlineStr">
        <is>
          <t>₩15,000~25,000/100ml</t>
        </is>
      </c>
      <c r="W55" s="37" t="inlineStr">
        <is>
          <t>★★★★☆</t>
        </is>
      </c>
      <c r="X55" s="34" t="inlineStr">
        <is>
          <t>서늘</t>
        </is>
      </c>
      <c r="Y55" s="34" t="inlineStr">
        <is>
          <t>제한 없음</t>
        </is>
      </c>
      <c r="Z55" s="34" t="inlineStr">
        <is>
          <t>스쿠알렌(불포화·피지) vs 스쿠알란(포화·안정)</t>
        </is>
      </c>
      <c r="AA55" s="34" t="inlineStr">
        <is>
          <t>MCT·호호바·하이드로제네이티드폴리이소부텐</t>
        </is>
      </c>
      <c r="AB55" s="34" t="inlineStr">
        <is>
          <t>'고급 가벼운 오일' 스토리. MCT보다 비쌈</t>
        </is>
      </c>
      <c r="AC55" s="34" t="inlineStr">
        <is>
          <t>스쿠알란 vs MCT — 5분 뒤 잔여 번들거림 비교</t>
        </is>
      </c>
      <c r="AD55" s="34" t="inlineStr">
        <is>
          <t>기본</t>
        </is>
      </c>
      <c r="AE55" s="38" t="n"/>
      <c r="AF55" s="39" t="n"/>
      <c r="AG55" s="38" t="n"/>
    </row>
    <row r="56" ht="92" customHeight="1">
      <c r="A56" s="46" t="n">
        <v>52</v>
      </c>
      <c r="B56" s="47" t="inlineStr">
        <is>
          <t>호호바오일</t>
        </is>
      </c>
      <c r="C56" s="34" t="inlineStr">
        <is>
          <t>Simmondsia Chinensis Seed Oil</t>
        </is>
      </c>
      <c r="D56" s="35" t="inlineStr">
        <is>
          <t>✓</t>
        </is>
      </c>
      <c r="E56" s="48" t="inlineStr">
        <is>
          <t>에몰리언트</t>
        </is>
      </c>
      <c r="F56" s="34" t="inlineStr">
        <is>
          <t>피지 유사·윤기</t>
        </is>
      </c>
      <c r="G56" s="34" t="inlineStr">
        <is>
          <t>식물</t>
        </is>
      </c>
      <c r="H56" s="34" t="inlineStr">
        <is>
          <t>호호바 씨앗(사막 관목)</t>
        </is>
      </c>
      <c r="I56" s="34" t="inlineStr">
        <is>
          <t>냉압착 → 골든(미정제) / 탈색·탈취 정제(무색)</t>
        </is>
      </c>
      <c r="J56" s="34" t="inlineStr">
        <is>
          <t>액상 왁스 에스터(C20~22)</t>
        </is>
      </c>
      <c r="K56" s="34" t="inlineStr">
        <is>
          <t>액상</t>
        </is>
      </c>
      <c r="L56" s="34" t="inlineStr">
        <is>
          <t>골든: 황금색 / 정제: 무색</t>
        </is>
      </c>
      <c r="M56" s="34" t="inlineStr">
        <is>
          <t>골든: 약한 견과취</t>
        </is>
      </c>
      <c r="N56" s="34" t="inlineStr">
        <is>
          <t>유용성</t>
        </is>
      </c>
      <c r="O56" s="34" t="inlineStr">
        <is>
          <t>B상</t>
        </is>
      </c>
      <c r="P56" s="34" t="inlineStr">
        <is>
          <t>매끈·윤기, 중간 무게</t>
        </is>
      </c>
      <c r="Q56" s="34" t="inlineStr">
        <is>
          <t>좋음</t>
        </is>
      </c>
      <c r="R56" s="34" t="inlineStr">
        <is>
          <t>약간 윤기</t>
        </is>
      </c>
      <c r="S56" s="34" t="inlineStr">
        <is>
          <t>3~10%</t>
        </is>
      </c>
      <c r="T56" s="34" t="inlineStr">
        <is>
          <t>산화 매우 안정(트리글리세라이드 아님)</t>
        </is>
      </c>
      <c r="U56" s="34" t="inlineStr">
        <is>
          <t>말라세지아 먹이 오일 → 히어로 제외</t>
        </is>
      </c>
      <c r="V56" s="34" t="inlineStr">
        <is>
          <t>₩8,000~15,000/100ml</t>
        </is>
      </c>
      <c r="W56" s="37" t="inlineStr">
        <is>
          <t>★★★★★</t>
        </is>
      </c>
      <c r="X56" s="34" t="inlineStr">
        <is>
          <t>서늘</t>
        </is>
      </c>
      <c r="Y56" s="34" t="inlineStr">
        <is>
          <t>제한 없음</t>
        </is>
      </c>
      <c r="Z56" s="34" t="inlineStr">
        <is>
          <t>실은 오일이 아니라 '액상 왁스'</t>
        </is>
      </c>
      <c r="AA56" s="34" t="inlineStr">
        <is>
          <t>스쿠알란·MCT</t>
        </is>
      </c>
      <c r="AB56" s="34" t="inlineStr">
        <is>
          <t>안정성 좋은 식물 오일. 지성 고객엔 가벼운 에스터로</t>
        </is>
      </c>
      <c r="AC56" s="34" t="inlineStr">
        <is>
          <t>골든 vs 정제 냄새·색 비교(가공이 감각을 바꾸는 예)</t>
        </is>
      </c>
      <c r="AD56" s="34" t="inlineStr">
        <is>
          <t>기본</t>
        </is>
      </c>
      <c r="AE56" s="38" t="n"/>
      <c r="AF56" s="39" t="n"/>
      <c r="AG56" s="38" t="n"/>
    </row>
    <row r="57" ht="92" customHeight="1">
      <c r="A57" s="46" t="n">
        <v>53</v>
      </c>
      <c r="B57" s="47" t="inlineStr">
        <is>
          <t>시어버터</t>
        </is>
      </c>
      <c r="C57" s="34" t="inlineStr">
        <is>
          <t>Butyrospermum Parkii Butter</t>
        </is>
      </c>
      <c r="D57" s="35" t="inlineStr">
        <is>
          <t>✓</t>
        </is>
      </c>
      <c r="E57" s="48" t="inlineStr">
        <is>
          <t>에몰리언트</t>
        </is>
      </c>
      <c r="F57" s="34" t="inlineStr">
        <is>
          <t>바디감·보호막·경도</t>
        </is>
      </c>
      <c r="G57" s="34" t="inlineStr">
        <is>
          <t>식물</t>
        </is>
      </c>
      <c r="H57" s="34" t="inlineStr">
        <is>
          <t>시어나무 열매 견과(서아프리카)</t>
        </is>
      </c>
      <c r="I57" s="34" t="inlineStr">
        <is>
          <t>분쇄·볶음·물로 끓여 기름 분리(전통) / 압착·용매 → 정제(탈취 백색)</t>
        </is>
      </c>
      <c r="J57" s="34" t="inlineStr">
        <is>
          <t>트리글리세라이드(스테아르·올레산)+불검화물</t>
        </is>
      </c>
      <c r="K57" s="34" t="inlineStr">
        <is>
          <t>고체 버터</t>
        </is>
      </c>
      <c r="L57" s="34" t="inlineStr">
        <is>
          <t>미정제 아이보리~노랑 / 정제 백색</t>
        </is>
      </c>
      <c r="M57" s="34" t="inlineStr">
        <is>
          <t>미정제 스모키·견과취</t>
        </is>
      </c>
      <c r="N57" s="34" t="inlineStr">
        <is>
          <t>유용성(녹는점 32~38℃)</t>
        </is>
      </c>
      <c r="O57" s="34" t="inlineStr">
        <is>
          <t>B상, 저온 용해 후 급냉</t>
        </is>
      </c>
      <c r="P57" s="34" t="inlineStr">
        <is>
          <t>리치·보호막, 무거움</t>
        </is>
      </c>
      <c r="Q57" s="34" t="inlineStr">
        <is>
          <t>녹으며 퍼짐</t>
        </is>
      </c>
      <c r="R57" s="34" t="inlineStr">
        <is>
          <t>기름막·촉촉</t>
        </is>
      </c>
      <c r="S57" s="34" t="inlineStr">
        <is>
          <t>2~10% (밤은 20~50%)</t>
        </is>
      </c>
      <c r="T57" s="34" t="inlineStr">
        <is>
          <t>천천히 식히면 알갱이(그레이니) 생성</t>
        </is>
      </c>
      <c r="U57" s="34" t="inlineStr">
        <is>
          <t>급냉(냉장 30분)으로 그레이니 방지. 말라세지아 비세이프</t>
        </is>
      </c>
      <c r="V57" s="34" t="inlineStr">
        <is>
          <t>₩6,000~12,000/100g</t>
        </is>
      </c>
      <c r="W57" s="37" t="inlineStr">
        <is>
          <t>★★★★★</t>
        </is>
      </c>
      <c r="X57" s="34" t="inlineStr">
        <is>
          <t>서늘·차광</t>
        </is>
      </c>
      <c r="Y57" s="34" t="inlineStr">
        <is>
          <t>제한 없음</t>
        </is>
      </c>
      <c r="Z57" s="34" t="inlineStr">
        <is>
          <t>버터 = 실온 고체 식물 지방</t>
        </is>
      </c>
      <c r="AA57" s="34" t="inlineStr">
        <is>
          <t>코코아버터·망고버터·코포아수버터</t>
        </is>
      </c>
      <c r="AB57" s="34" t="inlineStr">
        <is>
          <t>리치 크림·밤의 기본. 산뜻 제품엔 부적합</t>
        </is>
      </c>
      <c r="AC57" s="34" t="inlineStr">
        <is>
          <t>시어버터 녹여 반은 실온, 반은 냉장 급냉 → 3일 뒤 알갱이 비교</t>
        </is>
      </c>
      <c r="AD57" s="34" t="inlineStr">
        <is>
          <t>기본</t>
        </is>
      </c>
      <c r="AE57" s="38" t="n"/>
      <c r="AF57" s="39" t="n"/>
      <c r="AG57" s="38" t="n"/>
    </row>
    <row r="58" ht="92" customHeight="1">
      <c r="A58" s="46" t="n">
        <v>54</v>
      </c>
      <c r="B58" s="47" t="inlineStr">
        <is>
          <t>해바라기씨유</t>
        </is>
      </c>
      <c r="C58" s="34" t="inlineStr">
        <is>
          <t>Helianthus Annuus Seed Oil</t>
        </is>
      </c>
      <c r="D58" s="37" t="inlineStr">
        <is>
          <t>–</t>
        </is>
      </c>
      <c r="E58" s="48" t="inlineStr">
        <is>
          <t>에몰리언트</t>
        </is>
      </c>
      <c r="F58" s="34" t="inlineStr">
        <is>
          <t>장벽(리놀레산)·저가 베이스</t>
        </is>
      </c>
      <c r="G58" s="34" t="inlineStr">
        <is>
          <t>식물</t>
        </is>
      </c>
      <c r="H58" s="34" t="inlineStr">
        <is>
          <t>해바라기 씨</t>
        </is>
      </c>
      <c r="I58" s="34" t="inlineStr">
        <is>
          <t>압착/용매 추출 → 탈검·탈산·탈색·탈취 정제</t>
        </is>
      </c>
      <c r="J58" s="34" t="inlineStr">
        <is>
          <t>트리글리세라이드(리놀레산 高, 하이올레익 품종도)</t>
        </is>
      </c>
      <c r="K58" s="34" t="inlineStr">
        <is>
          <t>액상</t>
        </is>
      </c>
      <c r="L58" s="34" t="inlineStr">
        <is>
          <t>연노랑</t>
        </is>
      </c>
      <c r="M58" s="34" t="inlineStr">
        <is>
          <t>거의 무취(정제)</t>
        </is>
      </c>
      <c r="N58" s="34" t="inlineStr">
        <is>
          <t>유용성</t>
        </is>
      </c>
      <c r="O58" s="34" t="inlineStr">
        <is>
          <t>B상</t>
        </is>
      </c>
      <c r="P58" s="34" t="inlineStr">
        <is>
          <t>중간 무게·촉촉</t>
        </is>
      </c>
      <c r="Q58" s="34" t="inlineStr">
        <is>
          <t>좋음</t>
        </is>
      </c>
      <c r="R58" s="34" t="inlineStr">
        <is>
          <t>약간 기름짐</t>
        </is>
      </c>
      <c r="S58" s="34" t="inlineStr">
        <is>
          <t>3~10%</t>
        </is>
      </c>
      <c r="T58" s="34" t="inlineStr">
        <is>
          <t>산화 취약 → 토코페롤 0.1~0.5% 필수</t>
        </is>
      </c>
      <c r="U58" s="34" t="inlineStr">
        <is>
          <t>말라세지아 비세이프(C18). 하이올레익이 산화 안정↑</t>
        </is>
      </c>
      <c r="V58" s="34" t="inlineStr">
        <is>
          <t>₩5,000/250ml</t>
        </is>
      </c>
      <c r="W58" s="37" t="inlineStr">
        <is>
          <t>★★★★★</t>
        </is>
      </c>
      <c r="X58" s="34" t="inlineStr">
        <is>
          <t>차광·서늘</t>
        </is>
      </c>
      <c r="Y58" s="34" t="inlineStr">
        <is>
          <t>제한 없음</t>
        </is>
      </c>
      <c r="Z58" s="34" t="inlineStr">
        <is>
          <t>불포화도↑ = 산패↑ 개념</t>
        </is>
      </c>
      <c r="AA58" s="34" t="inlineStr">
        <is>
          <t>MCT·동백오일</t>
        </is>
      </c>
      <c r="AB58" s="34" t="inlineStr">
        <is>
          <t>가장 싼 식물 오일. 산패 관리 연습용</t>
        </is>
      </c>
      <c r="AC58" s="34" t="inlineStr">
        <is>
          <t>토코페롤 유/무 해바라기유를 창가에 2주 → 냄새 비교(산패)</t>
        </is>
      </c>
      <c r="AD58" s="34" t="inlineStr">
        <is>
          <t>기본</t>
        </is>
      </c>
      <c r="AE58" s="38" t="n"/>
      <c r="AF58" s="39" t="n"/>
      <c r="AG58" s="38" t="n"/>
    </row>
    <row r="59" ht="92" customHeight="1">
      <c r="A59" s="46" t="n">
        <v>55</v>
      </c>
      <c r="B59" s="47" t="inlineStr">
        <is>
          <t>동백오일</t>
        </is>
      </c>
      <c r="C59" s="34" t="inlineStr">
        <is>
          <t>Camellia Japonica Seed Oil</t>
        </is>
      </c>
      <c r="D59" s="37" t="inlineStr">
        <is>
          <t>–</t>
        </is>
      </c>
      <c r="E59" s="48" t="inlineStr">
        <is>
          <t>에몰리언트</t>
        </is>
      </c>
      <c r="F59" s="34" t="inlineStr">
        <is>
          <t>윤기·헤어</t>
        </is>
      </c>
      <c r="G59" s="34" t="inlineStr">
        <is>
          <t>식물</t>
        </is>
      </c>
      <c r="H59" s="34" t="inlineStr">
        <is>
          <t>동백 씨(제주)</t>
        </is>
      </c>
      <c r="I59" s="34" t="inlineStr">
        <is>
          <t>압착 → 비정제/정제</t>
        </is>
      </c>
      <c r="J59" s="34" t="inlineStr">
        <is>
          <t>트리글리세라이드(올레산 80%↑)</t>
        </is>
      </c>
      <c r="K59" s="34" t="inlineStr">
        <is>
          <t>액상</t>
        </is>
      </c>
      <c r="L59" s="34" t="inlineStr">
        <is>
          <t>연노랑</t>
        </is>
      </c>
      <c r="M59" s="34" t="inlineStr">
        <is>
          <t>미정제 약한 고소함</t>
        </is>
      </c>
      <c r="N59" s="34" t="inlineStr">
        <is>
          <t>유용성</t>
        </is>
      </c>
      <c r="O59" s="34" t="inlineStr">
        <is>
          <t>B상</t>
        </is>
      </c>
      <c r="P59" s="34" t="inlineStr">
        <is>
          <t>촉촉·윤기, 중간</t>
        </is>
      </c>
      <c r="Q59" s="34" t="inlineStr">
        <is>
          <t>좋음</t>
        </is>
      </c>
      <c r="R59" s="34" t="inlineStr">
        <is>
          <t>윤기</t>
        </is>
      </c>
      <c r="S59" s="34" t="inlineStr">
        <is>
          <t>3~15%</t>
        </is>
      </c>
      <c r="T59" s="34" t="inlineStr">
        <is>
          <t>올레산 위주라 비교적 안정</t>
        </is>
      </c>
      <c r="U59" s="34" t="inlineStr">
        <is>
          <t>말라세지아 비세이프. '제주' 원산지 스토리</t>
        </is>
      </c>
      <c r="V59" s="34" t="inlineStr">
        <is>
          <t>₩15,000~25,000/100ml</t>
        </is>
      </c>
      <c r="W59" s="37" t="inlineStr">
        <is>
          <t>★★★★☆</t>
        </is>
      </c>
      <c r="X59" s="34" t="inlineStr">
        <is>
          <t>서늘</t>
        </is>
      </c>
      <c r="Y59" s="34" t="inlineStr">
        <is>
          <t>제한 없음</t>
        </is>
      </c>
      <c r="Z59" s="34" t="inlineStr">
        <is>
          <t>올레산 = 단일불포화</t>
        </is>
      </c>
      <c r="AA59" s="34" t="inlineStr">
        <is>
          <t>올리브유·아르간오일</t>
        </is>
      </c>
      <c r="AB59" s="34" t="inlineStr">
        <is>
          <t>K-로컬 스토리 원료(수출 상세페이지에 강함)</t>
        </is>
      </c>
      <c r="AC59" s="34" t="inlineStr">
        <is>
          <t>동백 vs 호호바 머리카락 끝 윤기 비교</t>
        </is>
      </c>
      <c r="AD59" s="34" t="inlineStr">
        <is>
          <t>기본</t>
        </is>
      </c>
      <c r="AE59" s="38" t="n"/>
      <c r="AF59" s="39" t="n"/>
      <c r="AG59" s="38" t="n"/>
    </row>
    <row r="60" ht="92" customHeight="1">
      <c r="A60" s="46" t="n">
        <v>56</v>
      </c>
      <c r="B60" s="47" t="inlineStr">
        <is>
          <t>로즈힙오일</t>
        </is>
      </c>
      <c r="C60" s="34" t="inlineStr">
        <is>
          <t>Rosa Canina Fruit Oil</t>
        </is>
      </c>
      <c r="D60" s="37" t="inlineStr">
        <is>
          <t>–</t>
        </is>
      </c>
      <c r="E60" s="48" t="inlineStr">
        <is>
          <t>에몰리언트</t>
        </is>
      </c>
      <c r="F60" s="34" t="inlineStr">
        <is>
          <t>재생 이미지·리놀렌산</t>
        </is>
      </c>
      <c r="G60" s="34" t="inlineStr">
        <is>
          <t>식물</t>
        </is>
      </c>
      <c r="H60" s="34" t="inlineStr">
        <is>
          <t>로즈힙 씨(칠레)</t>
        </is>
      </c>
      <c r="I60" s="34" t="inlineStr">
        <is>
          <t>냉압착 or CO₂ 추출</t>
        </is>
      </c>
      <c r="J60" s="34" t="inlineStr">
        <is>
          <t>트리글리세라이드(리놀레·리놀렌 高)</t>
        </is>
      </c>
      <c r="K60" s="34" t="inlineStr">
        <is>
          <t>액상</t>
        </is>
      </c>
      <c r="L60" s="34" t="inlineStr">
        <is>
          <t>주황~황금</t>
        </is>
      </c>
      <c r="M60" s="34" t="inlineStr">
        <is>
          <t>특유의 비릿·흙향</t>
        </is>
      </c>
      <c r="N60" s="34" t="inlineStr">
        <is>
          <t>유용성</t>
        </is>
      </c>
      <c r="O60" s="34" t="inlineStr">
        <is>
          <t>냉각상(&lt;40℃)</t>
        </is>
      </c>
      <c r="P60" s="34" t="inlineStr">
        <is>
          <t>가볍고 빠른 흡수</t>
        </is>
      </c>
      <c r="Q60" s="34" t="inlineStr">
        <is>
          <t>좋음</t>
        </is>
      </c>
      <c r="R60" s="34" t="inlineStr">
        <is>
          <t>건성 피니시</t>
        </is>
      </c>
      <c r="S60" s="34" t="inlineStr">
        <is>
          <t>1~10%</t>
        </is>
      </c>
      <c r="T60" s="34" t="inlineStr">
        <is>
          <t>★ 산화 매우 빠름 — 냉장·토코페롤</t>
        </is>
      </c>
      <c r="U60" s="34" t="inlineStr">
        <is>
          <t>소량·개봉 후 3~6개월. 색이 제품을 주황으로</t>
        </is>
      </c>
      <c r="V60" s="34" t="inlineStr">
        <is>
          <t>₩15,000~25,000/30ml</t>
        </is>
      </c>
      <c r="W60" s="37" t="inlineStr">
        <is>
          <t>★★★★☆</t>
        </is>
      </c>
      <c r="X60" s="34" t="inlineStr">
        <is>
          <t>냉장·차광</t>
        </is>
      </c>
      <c r="Y60" s="34" t="inlineStr">
        <is>
          <t>제한 없음</t>
        </is>
      </c>
      <c r="Z60" s="34" t="inlineStr">
        <is>
          <t>다중불포화 = 산패 빠름</t>
        </is>
      </c>
      <c r="AA60" s="34" t="inlineStr">
        <is>
          <t>아르간·해바라기</t>
        </is>
      </c>
      <c r="AB60" s="34" t="inlineStr">
        <is>
          <t>'건성 오일' 감촉·스토리. 안정성 관리 필수</t>
        </is>
      </c>
      <c r="AC60" s="34" t="inlineStr">
        <is>
          <t>로즈힙 냄새·색 관찰 → 산패된 오일 냄새와 구분 익히기</t>
        </is>
      </c>
      <c r="AD60" s="34" t="inlineStr">
        <is>
          <t>기본</t>
        </is>
      </c>
      <c r="AE60" s="38" t="n"/>
      <c r="AF60" s="39" t="n"/>
      <c r="AG60" s="38" t="n"/>
    </row>
    <row r="61" ht="92" customHeight="1">
      <c r="A61" s="46" t="n">
        <v>57</v>
      </c>
      <c r="B61" s="47" t="inlineStr">
        <is>
          <t>아르간오일</t>
        </is>
      </c>
      <c r="C61" s="34" t="inlineStr">
        <is>
          <t>Argania Spinosa Kernel Oil</t>
        </is>
      </c>
      <c r="D61" s="37" t="inlineStr">
        <is>
          <t>–</t>
        </is>
      </c>
      <c r="E61" s="48" t="inlineStr">
        <is>
          <t>에몰리언트</t>
        </is>
      </c>
      <c r="F61" s="34" t="inlineStr">
        <is>
          <t>윤기·헤어</t>
        </is>
      </c>
      <c r="G61" s="34" t="inlineStr">
        <is>
          <t>식물</t>
        </is>
      </c>
      <c r="H61" s="34" t="inlineStr">
        <is>
          <t>아르간 열매 씨(모로코)</t>
        </is>
      </c>
      <c r="I61" s="34" t="inlineStr">
        <is>
          <t>씨 볶지 않고 냉압착(화장품용) / 볶음(식용)</t>
        </is>
      </c>
      <c r="J61" s="34" t="inlineStr">
        <is>
          <t>트리글리세라이드(올레·리놀레)</t>
        </is>
      </c>
      <c r="K61" s="34" t="inlineStr">
        <is>
          <t>액상</t>
        </is>
      </c>
      <c r="L61" s="34" t="inlineStr">
        <is>
          <t>연노랑</t>
        </is>
      </c>
      <c r="M61" s="34" t="inlineStr">
        <is>
          <t>약한 견과취</t>
        </is>
      </c>
      <c r="N61" s="34" t="inlineStr">
        <is>
          <t>유용성</t>
        </is>
      </c>
      <c r="O61" s="34" t="inlineStr">
        <is>
          <t>B상 or 냉각상</t>
        </is>
      </c>
      <c r="P61" s="34" t="inlineStr">
        <is>
          <t>중간·실키</t>
        </is>
      </c>
      <c r="Q61" s="34" t="inlineStr">
        <is>
          <t>좋음</t>
        </is>
      </c>
      <c r="R61" s="34" t="inlineStr">
        <is>
          <t>약간 윤기</t>
        </is>
      </c>
      <c r="S61" s="34" t="inlineStr">
        <is>
          <t>1~10%</t>
        </is>
      </c>
      <c r="T61" s="34" t="inlineStr">
        <is>
          <t>중간 안정</t>
        </is>
      </c>
      <c r="U61" s="34" t="inlineStr">
        <is>
          <t>말라세지아 비세이프</t>
        </is>
      </c>
      <c r="V61" s="34" t="inlineStr">
        <is>
          <t>₩15,000~30,000/100ml</t>
        </is>
      </c>
      <c r="W61" s="37" t="inlineStr">
        <is>
          <t>★★★★☆</t>
        </is>
      </c>
      <c r="X61" s="34" t="inlineStr">
        <is>
          <t>서늘·차광</t>
        </is>
      </c>
      <c r="Y61" s="34" t="inlineStr">
        <is>
          <t>제한 없음</t>
        </is>
      </c>
      <c r="Z61" s="34" t="inlineStr">
        <is>
          <t>—</t>
        </is>
      </c>
      <c r="AA61" s="34" t="inlineStr">
        <is>
          <t>동백·호호바</t>
        </is>
      </c>
      <c r="AB61" s="34" t="inlineStr">
        <is>
          <t>고가 프리미엄 스토리 오일</t>
        </is>
      </c>
      <c r="AC61" s="34" t="inlineStr">
        <is>
          <t>아르간 vs 동백 손등 흡수 시간</t>
        </is>
      </c>
      <c r="AD61" s="34" t="inlineStr">
        <is>
          <t>기본</t>
        </is>
      </c>
      <c r="AE61" s="38" t="n"/>
      <c r="AF61" s="39" t="n"/>
      <c r="AG61" s="38" t="n"/>
    </row>
    <row r="62" ht="92" customHeight="1">
      <c r="A62" s="46" t="n">
        <v>58</v>
      </c>
      <c r="B62" s="47" t="inlineStr">
        <is>
          <t>코코-카프릴레이트/카프레이트</t>
        </is>
      </c>
      <c r="C62" s="34" t="inlineStr">
        <is>
          <t>Coco-Caprylate/Caprate</t>
        </is>
      </c>
      <c r="D62" s="37" t="inlineStr">
        <is>
          <t>–</t>
        </is>
      </c>
      <c r="E62" s="48" t="inlineStr">
        <is>
          <t>에몰리언트</t>
        </is>
      </c>
      <c r="F62" s="34" t="inlineStr">
        <is>
          <t>실리콘 대체·발림</t>
        </is>
      </c>
      <c r="G62" s="34" t="inlineStr">
        <is>
          <t>식물</t>
        </is>
      </c>
      <c r="H62" s="34" t="inlineStr">
        <is>
          <t>코코넛 지방알코올 + C8/C10 지방산</t>
        </is>
      </c>
      <c r="I62" s="34" t="inlineStr">
        <is>
          <t>에스터화</t>
        </is>
      </c>
      <c r="J62" s="34" t="inlineStr">
        <is>
          <t>에스터(저점도)</t>
        </is>
      </c>
      <c r="K62" s="34" t="inlineStr">
        <is>
          <t>액상</t>
        </is>
      </c>
      <c r="L62" s="34" t="inlineStr">
        <is>
          <t>무색</t>
        </is>
      </c>
      <c r="M62" s="34" t="inlineStr">
        <is>
          <t>무취</t>
        </is>
      </c>
      <c r="N62" s="34" t="inlineStr">
        <is>
          <t>유용성</t>
        </is>
      </c>
      <c r="O62" s="34" t="inlineStr">
        <is>
          <t>B상</t>
        </is>
      </c>
      <c r="P62" s="34" t="inlineStr">
        <is>
          <t>매우 가볍고 빠름, 실리콘 느낌</t>
        </is>
      </c>
      <c r="Q62" s="34" t="inlineStr">
        <is>
          <t>매우 좋음</t>
        </is>
      </c>
      <c r="R62" s="34" t="inlineStr">
        <is>
          <t>보송</t>
        </is>
      </c>
      <c r="S62" s="34" t="inlineStr">
        <is>
          <t>2~10%</t>
        </is>
      </c>
      <c r="T62" s="34" t="inlineStr">
        <is>
          <t>안정</t>
        </is>
      </c>
      <c r="U62" s="34" t="inlineStr">
        <is>
          <t>말라세지아 세이프 쪽(중쇄). 디메치콘 대체 '천연' 포지션</t>
        </is>
      </c>
      <c r="V62" s="34" t="inlineStr">
        <is>
          <t>₩20,000/100g</t>
        </is>
      </c>
      <c r="W62" s="37" t="inlineStr">
        <is>
          <t>★★★☆☆</t>
        </is>
      </c>
      <c r="X62" s="34" t="inlineStr">
        <is>
          <t>서늘</t>
        </is>
      </c>
      <c r="Y62" s="34" t="inlineStr">
        <is>
          <t>제한 없음</t>
        </is>
      </c>
      <c r="Z62" s="34" t="inlineStr">
        <is>
          <t>에스터 = 산+알코올</t>
        </is>
      </c>
      <c r="AA62" s="34" t="inlineStr">
        <is>
          <t>디메치콘·디카프릴릴카보네이트·MCT</t>
        </is>
      </c>
      <c r="AB62" s="34" t="inlineStr">
        <is>
          <t>'실리콘프리'인데 슬립 원할 때</t>
        </is>
      </c>
      <c r="AC62" s="34" t="inlineStr">
        <is>
          <t>(구매 시) 디메치콘 vs 코코카프릴레이트 슬립 비교</t>
        </is>
      </c>
      <c r="AD62" s="34" t="inlineStr">
        <is>
          <t>기본</t>
        </is>
      </c>
      <c r="AE62" s="38" t="n"/>
      <c r="AF62" s="39" t="n"/>
      <c r="AG62" s="38" t="n"/>
    </row>
    <row r="63" ht="92" customHeight="1">
      <c r="A63" s="46" t="n">
        <v>59</v>
      </c>
      <c r="B63" s="47" t="inlineStr">
        <is>
          <t>디카프릴릴카보네이트</t>
        </is>
      </c>
      <c r="C63" s="34" t="inlineStr">
        <is>
          <t>Dicaprylyl Carbonate</t>
        </is>
      </c>
      <c r="D63" s="37" t="inlineStr">
        <is>
          <t>–</t>
        </is>
      </c>
      <c r="E63" s="48" t="inlineStr">
        <is>
          <t>에몰리언트</t>
        </is>
      </c>
      <c r="F63" s="34" t="inlineStr">
        <is>
          <t>자외선 필터 용해·드라이 피니시</t>
        </is>
      </c>
      <c r="G63" s="34" t="inlineStr">
        <is>
          <t>식물+합성</t>
        </is>
      </c>
      <c r="H63" s="34" t="inlineStr">
        <is>
          <t>C8 지방알코올(코코넛) + 탄산</t>
        </is>
      </c>
      <c r="I63" s="34" t="inlineStr">
        <is>
          <t>탄산 에스터화 (Cetiol CC)</t>
        </is>
      </c>
      <c r="J63" s="34" t="inlineStr">
        <is>
          <t>카보네이트 에스터</t>
        </is>
      </c>
      <c r="K63" s="34" t="inlineStr">
        <is>
          <t>액상</t>
        </is>
      </c>
      <c r="L63" s="34" t="inlineStr">
        <is>
          <t>무색</t>
        </is>
      </c>
      <c r="M63" s="34" t="inlineStr">
        <is>
          <t>무취</t>
        </is>
      </c>
      <c r="N63" s="34" t="inlineStr">
        <is>
          <t>유용성</t>
        </is>
      </c>
      <c r="O63" s="34" t="inlineStr">
        <is>
          <t>B상</t>
        </is>
      </c>
      <c r="P63" s="34" t="inlineStr">
        <is>
          <t>극히 가볍고 즉시 흡수</t>
        </is>
      </c>
      <c r="Q63" s="34" t="inlineStr">
        <is>
          <t>최상</t>
        </is>
      </c>
      <c r="R63" s="34" t="inlineStr">
        <is>
          <t>파우더리·드라이</t>
        </is>
      </c>
      <c r="S63" s="34" t="inlineStr">
        <is>
          <t>2~10%</t>
        </is>
      </c>
      <c r="T63" s="34" t="inlineStr">
        <is>
          <t>안정</t>
        </is>
      </c>
      <c r="U63" s="34" t="inlineStr">
        <is>
          <t>유기 자외선 필터 잘 녹임. 끈적 오일과 섞어 무게감↓</t>
        </is>
      </c>
      <c r="V63" s="34" t="inlineStr">
        <is>
          <t>₩20,000~30,000/100g</t>
        </is>
      </c>
      <c r="W63" s="37" t="inlineStr">
        <is>
          <t>★★☆☆☆</t>
        </is>
      </c>
      <c r="X63" s="34" t="inlineStr">
        <is>
          <t>서늘</t>
        </is>
      </c>
      <c r="Y63" s="34" t="inlineStr">
        <is>
          <t>제한 없음</t>
        </is>
      </c>
      <c r="Z63" s="34" t="inlineStr">
        <is>
          <t>—</t>
        </is>
      </c>
      <c r="AA63" s="34" t="inlineStr">
        <is>
          <t>코코카프릴레이트·D5</t>
        </is>
      </c>
      <c r="AB63" s="34" t="inlineStr">
        <is>
          <t>가장 드라이한 에스터 — 선크림·지성용</t>
        </is>
      </c>
      <c r="AC63" s="34" t="inlineStr">
        <is>
          <t>—(미보유) 선크림 전성분에서 찾아보기</t>
        </is>
      </c>
      <c r="AD63" s="34" t="inlineStr">
        <is>
          <t>기본</t>
        </is>
      </c>
      <c r="AE63" s="38" t="n"/>
      <c r="AF63" s="39" t="n"/>
      <c r="AG63" s="38" t="n"/>
    </row>
    <row r="64" ht="92" customHeight="1">
      <c r="A64" s="46" t="n">
        <v>60</v>
      </c>
      <c r="B64" s="47" t="inlineStr">
        <is>
          <t>C12-15 알킬벤조에이트</t>
        </is>
      </c>
      <c r="C64" s="34" t="inlineStr">
        <is>
          <t>C12-15 Alkyl Benzoate</t>
        </is>
      </c>
      <c r="D64" s="37" t="inlineStr">
        <is>
          <t>–</t>
        </is>
      </c>
      <c r="E64" s="48" t="inlineStr">
        <is>
          <t>에몰리언트</t>
        </is>
      </c>
      <c r="F64" s="34" t="inlineStr">
        <is>
          <t>UV 필터 용매·발림</t>
        </is>
      </c>
      <c r="G64" s="34" t="inlineStr">
        <is>
          <t>합성</t>
        </is>
      </c>
      <c r="H64" s="34" t="inlineStr">
        <is>
          <t>벤조산 + C12-15 알코올</t>
        </is>
      </c>
      <c r="I64" s="34" t="inlineStr">
        <is>
          <t>에스터화</t>
        </is>
      </c>
      <c r="J64" s="34" t="inlineStr">
        <is>
          <t>방향족 에스터</t>
        </is>
      </c>
      <c r="K64" s="34" t="inlineStr">
        <is>
          <t>액상</t>
        </is>
      </c>
      <c r="L64" s="34" t="inlineStr">
        <is>
          <t>무색</t>
        </is>
      </c>
      <c r="M64" s="34" t="inlineStr">
        <is>
          <t>무취</t>
        </is>
      </c>
      <c r="N64" s="34" t="inlineStr">
        <is>
          <t>유용성</t>
        </is>
      </c>
      <c r="O64" s="34" t="inlineStr">
        <is>
          <t>B상</t>
        </is>
      </c>
      <c r="P64" s="34" t="inlineStr">
        <is>
          <t>가볍고 비끈적</t>
        </is>
      </c>
      <c r="Q64" s="34" t="inlineStr">
        <is>
          <t>좋음</t>
        </is>
      </c>
      <c r="R64" s="34" t="inlineStr">
        <is>
          <t>보송</t>
        </is>
      </c>
      <c r="S64" s="34" t="inlineStr">
        <is>
          <t>2~10%</t>
        </is>
      </c>
      <c r="T64" s="34" t="inlineStr">
        <is>
          <t>안정</t>
        </is>
      </c>
      <c r="U64" s="34" t="inlineStr">
        <is>
          <t>선크림 표준 용매. 극성 중간</t>
        </is>
      </c>
      <c r="V64" s="34" t="inlineStr">
        <is>
          <t>₩15,000/100g</t>
        </is>
      </c>
      <c r="W64" s="37" t="inlineStr">
        <is>
          <t>★★☆☆☆</t>
        </is>
      </c>
      <c r="X64" s="34" t="inlineStr">
        <is>
          <t>서늘</t>
        </is>
      </c>
      <c r="Y64" s="34" t="inlineStr">
        <is>
          <t>제한 없음</t>
        </is>
      </c>
      <c r="Z64" s="34" t="inlineStr">
        <is>
          <t>—</t>
        </is>
      </c>
      <c r="AA64" s="34" t="inlineStr">
        <is>
          <t>디카프릴릴카보네이트·MCT</t>
        </is>
      </c>
      <c r="AB64" s="34" t="inlineStr">
        <is>
          <t>선크림 용매용. 천연 포지션 X</t>
        </is>
      </c>
      <c r="AC64" s="34" t="inlineStr">
        <is>
          <t>—</t>
        </is>
      </c>
      <c r="AD64" s="34" t="inlineStr">
        <is>
          <t>기본</t>
        </is>
      </c>
      <c r="AE64" s="38" t="n"/>
      <c r="AF64" s="39" t="n"/>
      <c r="AG64" s="38" t="n"/>
    </row>
    <row r="65" ht="92" customHeight="1">
      <c r="A65" s="46" t="n">
        <v>61</v>
      </c>
      <c r="B65" s="47" t="inlineStr">
        <is>
          <t>이소노닐이소노나노에이트</t>
        </is>
      </c>
      <c r="C65" s="34" t="inlineStr">
        <is>
          <t>Isononyl Isononanoate</t>
        </is>
      </c>
      <c r="D65" s="37" t="inlineStr">
        <is>
          <t>–</t>
        </is>
      </c>
      <c r="E65" s="48" t="inlineStr">
        <is>
          <t>에몰리언트</t>
        </is>
      </c>
      <c r="F65" s="34" t="inlineStr">
        <is>
          <t>드라이 터치(메이크업)</t>
        </is>
      </c>
      <c r="G65" s="34" t="inlineStr">
        <is>
          <t>합성</t>
        </is>
      </c>
      <c r="H65" s="34" t="inlineStr">
        <is>
          <t>분지 C9 산 + C9 알코올</t>
        </is>
      </c>
      <c r="I65" s="34" t="inlineStr">
        <is>
          <t>에스터화</t>
        </is>
      </c>
      <c r="J65" s="34" t="inlineStr">
        <is>
          <t>분지 에스터</t>
        </is>
      </c>
      <c r="K65" s="34" t="inlineStr">
        <is>
          <t>액상</t>
        </is>
      </c>
      <c r="L65" s="34" t="inlineStr">
        <is>
          <t>무색</t>
        </is>
      </c>
      <c r="M65" s="34" t="inlineStr">
        <is>
          <t>무취</t>
        </is>
      </c>
      <c r="N65" s="34" t="inlineStr">
        <is>
          <t>유용성</t>
        </is>
      </c>
      <c r="O65" s="34" t="inlineStr">
        <is>
          <t>B상</t>
        </is>
      </c>
      <c r="P65" s="34" t="inlineStr">
        <is>
          <t>실키·드라이</t>
        </is>
      </c>
      <c r="Q65" s="34" t="inlineStr">
        <is>
          <t>최상</t>
        </is>
      </c>
      <c r="R65" s="34" t="inlineStr">
        <is>
          <t>보송</t>
        </is>
      </c>
      <c r="S65" s="34" t="inlineStr">
        <is>
          <t>2~8%</t>
        </is>
      </c>
      <c r="T65" s="34" t="inlineStr">
        <is>
          <t>안정</t>
        </is>
      </c>
      <c r="U65" s="34" t="inlineStr">
        <is>
          <t>메이크업·지성 제품. 휘발성 실리콘 대체로 쓰임</t>
        </is>
      </c>
      <c r="V65" s="34" t="inlineStr">
        <is>
          <t>₩15,000/100g</t>
        </is>
      </c>
      <c r="W65" s="37" t="inlineStr">
        <is>
          <t>★★☆☆☆</t>
        </is>
      </c>
      <c r="X65" s="34" t="inlineStr">
        <is>
          <t>서늘</t>
        </is>
      </c>
      <c r="Y65" s="34" t="inlineStr">
        <is>
          <t>제한 없음</t>
        </is>
      </c>
      <c r="Z65" s="34" t="inlineStr">
        <is>
          <t>분지 구조 = 가벼운 감촉</t>
        </is>
      </c>
      <c r="AA65" s="34" t="inlineStr">
        <is>
          <t>코코카프릴레이트·D5</t>
        </is>
      </c>
      <c r="AB65" s="34" t="inlineStr">
        <is>
          <t>'끈적임 0' 산뜻 에멀전</t>
        </is>
      </c>
      <c r="AC65" s="34" t="inlineStr">
        <is>
          <t>—</t>
        </is>
      </c>
      <c r="AD65" s="34" t="inlineStr">
        <is>
          <t>기본</t>
        </is>
      </c>
      <c r="AE65" s="38" t="n"/>
      <c r="AF65" s="39" t="n"/>
      <c r="AG65" s="38" t="n"/>
    </row>
    <row r="66" ht="92" customHeight="1">
      <c r="A66" s="46" t="n">
        <v>62</v>
      </c>
      <c r="B66" s="47" t="inlineStr">
        <is>
          <t>하이드로제네이티드폴리이소부텐</t>
        </is>
      </c>
      <c r="C66" s="34" t="inlineStr">
        <is>
          <t>Hydrogenated Polyisobutene</t>
        </is>
      </c>
      <c r="D66" s="37" t="inlineStr">
        <is>
          <t>–</t>
        </is>
      </c>
      <c r="E66" s="48" t="inlineStr">
        <is>
          <t>에몰리언트</t>
        </is>
      </c>
      <c r="F66" s="34" t="inlineStr">
        <is>
          <t>광택·쿠션(고점도) / 가벼움(저점도)</t>
        </is>
      </c>
      <c r="G66" s="34" t="inlineStr">
        <is>
          <t>석유</t>
        </is>
      </c>
      <c r="H66" s="34" t="inlineStr">
        <is>
          <t>이소부틸렌</t>
        </is>
      </c>
      <c r="I66" s="34" t="inlineStr">
        <is>
          <t>중합 → 수소화</t>
        </is>
      </c>
      <c r="J66" s="34" t="inlineStr">
        <is>
          <t>합성 탄화수소</t>
        </is>
      </c>
      <c r="K66" s="34" t="inlineStr">
        <is>
          <t>액상(점도 다양)</t>
        </is>
      </c>
      <c r="L66" s="34" t="inlineStr">
        <is>
          <t>무색</t>
        </is>
      </c>
      <c r="M66" s="34" t="inlineStr">
        <is>
          <t>무취</t>
        </is>
      </c>
      <c r="N66" s="34" t="inlineStr">
        <is>
          <t>유용성</t>
        </is>
      </c>
      <c r="O66" s="34" t="inlineStr">
        <is>
          <t>B상</t>
        </is>
      </c>
      <c r="P66" s="34" t="inlineStr">
        <is>
          <t>저점도: 스쿠알란 같음 / 고점도: 립글로스 광택</t>
        </is>
      </c>
      <c r="Q66" s="34" t="inlineStr">
        <is>
          <t>점도 따라</t>
        </is>
      </c>
      <c r="R66" s="34" t="inlineStr">
        <is>
          <t>광택·쿠션</t>
        </is>
      </c>
      <c r="S66" s="34" t="inlineStr">
        <is>
          <t>1~10%</t>
        </is>
      </c>
      <c r="T66" s="34" t="inlineStr">
        <is>
          <t>매우 안정</t>
        </is>
      </c>
      <c r="U66" s="34" t="inlineStr">
        <is>
          <t>스쿠알란의 저가 대체(석유 유래)</t>
        </is>
      </c>
      <c r="V66" s="34" t="inlineStr">
        <is>
          <t>₩10,000/100g</t>
        </is>
      </c>
      <c r="W66" s="37" t="inlineStr">
        <is>
          <t>★★☆☆☆</t>
        </is>
      </c>
      <c r="X66" s="34" t="inlineStr">
        <is>
          <t>서늘</t>
        </is>
      </c>
      <c r="Y66" s="34" t="inlineStr">
        <is>
          <t>제한 없음</t>
        </is>
      </c>
      <c r="Z66" s="34" t="inlineStr">
        <is>
          <t>—</t>
        </is>
      </c>
      <c r="AA66" s="34" t="inlineStr">
        <is>
          <t>스쿠알란·미네랄오일</t>
        </is>
      </c>
      <c r="AB66" s="34" t="inlineStr">
        <is>
          <t>저가·안정. 천연 포지션 X</t>
        </is>
      </c>
      <c r="AC66" s="34" t="inlineStr">
        <is>
          <t>—</t>
        </is>
      </c>
      <c r="AD66" s="34" t="inlineStr">
        <is>
          <t>기본</t>
        </is>
      </c>
      <c r="AE66" s="38" t="n"/>
      <c r="AF66" s="39" t="n"/>
      <c r="AG66" s="38" t="n"/>
    </row>
    <row r="67" ht="92" customHeight="1">
      <c r="A67" s="46" t="n">
        <v>63</v>
      </c>
      <c r="B67" s="47" t="inlineStr">
        <is>
          <t>미네랄오일/페트롤라툼</t>
        </is>
      </c>
      <c r="C67" s="34" t="inlineStr">
        <is>
          <t>Paraffinum Liquidum / Petrolatum</t>
        </is>
      </c>
      <c r="D67" s="37" t="inlineStr">
        <is>
          <t>–</t>
        </is>
      </c>
      <c r="E67" s="48" t="inlineStr">
        <is>
          <t>에몰리언트</t>
        </is>
      </c>
      <c r="F67" s="34" t="inlineStr">
        <is>
          <t>강한 차폐(수분 증발 차단)</t>
        </is>
      </c>
      <c r="G67" s="34" t="inlineStr">
        <is>
          <t>석유</t>
        </is>
      </c>
      <c r="H67" s="34" t="inlineStr">
        <is>
          <t>원유</t>
        </is>
      </c>
      <c r="I67" s="34" t="inlineStr">
        <is>
          <t>고도 정제(화장품 등급)</t>
        </is>
      </c>
      <c r="J67" s="34" t="inlineStr">
        <is>
          <t>탄화수소 혼합물</t>
        </is>
      </c>
      <c r="K67" s="34" t="inlineStr">
        <is>
          <t>액상 / 반고체 젤리</t>
        </is>
      </c>
      <c r="L67" s="34" t="inlineStr">
        <is>
          <t>무색 / 백색</t>
        </is>
      </c>
      <c r="M67" s="34" t="inlineStr">
        <is>
          <t>무취</t>
        </is>
      </c>
      <c r="N67" s="34" t="inlineStr">
        <is>
          <t>유용성</t>
        </is>
      </c>
      <c r="O67" s="34" t="inlineStr">
        <is>
          <t>B상</t>
        </is>
      </c>
      <c r="P67" s="34" t="inlineStr">
        <is>
          <t>미끄럽고 무거움 / 끈적 차폐막</t>
        </is>
      </c>
      <c r="Q67" s="34" t="inlineStr">
        <is>
          <t>좋음/뻑뻑</t>
        </is>
      </c>
      <c r="R67" s="34" t="inlineStr">
        <is>
          <t>번들·막</t>
        </is>
      </c>
      <c r="S67" s="34" t="inlineStr">
        <is>
          <t>1~15% (연고형 고%)</t>
        </is>
      </c>
      <c r="T67" s="34" t="inlineStr">
        <is>
          <t>매우 안정</t>
        </is>
      </c>
      <c r="U67" s="34" t="inlineStr">
        <is>
          <t>차폐력 최상·저렴·저자극. '천연·클린' 포지션 X</t>
        </is>
      </c>
      <c r="V67" s="34" t="inlineStr">
        <is>
          <t>₩5,000/500g</t>
        </is>
      </c>
      <c r="W67" s="37" t="inlineStr">
        <is>
          <t>★★★★☆</t>
        </is>
      </c>
      <c r="X67" s="34" t="inlineStr">
        <is>
          <t>서늘</t>
        </is>
      </c>
      <c r="Y67" s="34" t="inlineStr">
        <is>
          <t>제한 없음(정제 등급)</t>
        </is>
      </c>
      <c r="Z67" s="34" t="inlineStr">
        <is>
          <t>유상 원료 분류(탄화수소)</t>
        </is>
      </c>
      <c r="AA67" s="34" t="inlineStr">
        <is>
          <t>시어버터·스쿠알란</t>
        </is>
      </c>
      <c r="AB67" s="34" t="inlineStr">
        <is>
          <t>극건성·장벽 손상용 '효과'는 최고. 브랜드 포지션과 충돌 확인</t>
        </is>
      </c>
      <c r="AC67" s="34" t="inlineStr">
        <is>
          <t>바셀린 vs 시어버터 손등 — 30분 뒤 물방울 떨어뜨려 튕김(차폐) 비교</t>
        </is>
      </c>
      <c r="AD67" s="34" t="inlineStr">
        <is>
          <t>기본</t>
        </is>
      </c>
      <c r="AE67" s="38" t="n"/>
      <c r="AF67" s="39" t="n"/>
      <c r="AG67" s="38" t="n"/>
    </row>
    <row r="68" ht="92" customHeight="1">
      <c r="A68" s="46" t="n">
        <v>64</v>
      </c>
      <c r="B68" s="47" t="inlineStr">
        <is>
          <t>디이소스테아릴말레이트</t>
        </is>
      </c>
      <c r="C68" s="34" t="inlineStr">
        <is>
          <t>Diisostearyl Malate</t>
        </is>
      </c>
      <c r="D68" s="37" t="inlineStr">
        <is>
          <t>–</t>
        </is>
      </c>
      <c r="E68" s="48" t="inlineStr">
        <is>
          <t>에몰리언트</t>
        </is>
      </c>
      <c r="F68" s="34" t="inlineStr">
        <is>
          <t>광택·안료 분산(립)</t>
        </is>
      </c>
      <c r="G68" s="34" t="inlineStr">
        <is>
          <t>합성</t>
        </is>
      </c>
      <c r="H68" s="34" t="inlineStr">
        <is>
          <t>말산 + 이소스테아릴알코올</t>
        </is>
      </c>
      <c r="I68" s="34" t="inlineStr">
        <is>
          <t>에스터화</t>
        </is>
      </c>
      <c r="J68" s="34" t="inlineStr">
        <is>
          <t>분지 에스터(고점도)</t>
        </is>
      </c>
      <c r="K68" s="34" t="inlineStr">
        <is>
          <t>점성 액상</t>
        </is>
      </c>
      <c r="L68" s="34" t="inlineStr">
        <is>
          <t>무색~연노랑</t>
        </is>
      </c>
      <c r="M68" s="34" t="inlineStr">
        <is>
          <t>무취</t>
        </is>
      </c>
      <c r="N68" s="34" t="inlineStr">
        <is>
          <t>유용성</t>
        </is>
      </c>
      <c r="O68" s="34" t="inlineStr">
        <is>
          <t>B상</t>
        </is>
      </c>
      <c r="P68" s="34" t="inlineStr">
        <is>
          <t>쫀득·광택·쿠션</t>
        </is>
      </c>
      <c r="Q68" s="34" t="inlineStr">
        <is>
          <t>무거움</t>
        </is>
      </c>
      <c r="R68" s="34" t="inlineStr">
        <is>
          <t>광택막</t>
        </is>
      </c>
      <c r="S68" s="34" t="inlineStr">
        <is>
          <t>5~30% (립)</t>
        </is>
      </c>
      <c r="T68" s="34" t="inlineStr">
        <is>
          <t>안정</t>
        </is>
      </c>
      <c r="U68" s="34" t="inlineStr">
        <is>
          <t>립밤·립글로스 광택의 핵심</t>
        </is>
      </c>
      <c r="V68" s="34" t="inlineStr">
        <is>
          <t>₩15,000/100g</t>
        </is>
      </c>
      <c r="W68" s="37" t="inlineStr">
        <is>
          <t>★★☆☆☆</t>
        </is>
      </c>
      <c r="X68" s="34" t="inlineStr">
        <is>
          <t>서늘</t>
        </is>
      </c>
      <c r="Y68" s="34" t="inlineStr">
        <is>
          <t>제한 없음</t>
        </is>
      </c>
      <c r="Z68" s="34" t="inlineStr">
        <is>
          <t>—</t>
        </is>
      </c>
      <c r="AA68" s="34" t="inlineStr">
        <is>
          <t>피마자유·하이드로제네이티드폴리이소부텐</t>
        </is>
      </c>
      <c r="AB68" s="34" t="inlineStr">
        <is>
          <t>립 광택 원할 때. 스킨케어엔 무거움</t>
        </is>
      </c>
      <c r="AC68" s="34" t="inlineStr">
        <is>
          <t>—</t>
        </is>
      </c>
      <c r="AD68" s="34" t="inlineStr">
        <is>
          <t>기본</t>
        </is>
      </c>
      <c r="AE68" s="38" t="n"/>
      <c r="AF68" s="39" t="n"/>
      <c r="AG68" s="38" t="n"/>
    </row>
    <row r="69" ht="92" customHeight="1">
      <c r="A69" s="46" t="n">
        <v>65</v>
      </c>
      <c r="B69" s="47" t="inlineStr">
        <is>
          <t>아이소프로필미리스테이트(IPM)</t>
        </is>
      </c>
      <c r="C69" s="34" t="inlineStr">
        <is>
          <t>Isopropyl Myristate</t>
        </is>
      </c>
      <c r="D69" s="37" t="inlineStr">
        <is>
          <t>–</t>
        </is>
      </c>
      <c r="E69" s="48" t="inlineStr">
        <is>
          <t>에몰리언트</t>
        </is>
      </c>
      <c r="F69" s="34" t="inlineStr">
        <is>
          <t>빠른 흡수·침투 보조</t>
        </is>
      </c>
      <c r="G69" s="34" t="inlineStr">
        <is>
          <t>합성(식물 지방산)</t>
        </is>
      </c>
      <c r="H69" s="34" t="inlineStr">
        <is>
          <t>미리스트산(코코넛) + 이소프로판올</t>
        </is>
      </c>
      <c r="I69" s="34" t="inlineStr">
        <is>
          <t>에스터화</t>
        </is>
      </c>
      <c r="J69" s="34" t="inlineStr">
        <is>
          <t>저분자 에스터</t>
        </is>
      </c>
      <c r="K69" s="34" t="inlineStr">
        <is>
          <t>액상</t>
        </is>
      </c>
      <c r="L69" s="34" t="inlineStr">
        <is>
          <t>무색</t>
        </is>
      </c>
      <c r="M69" s="34" t="inlineStr">
        <is>
          <t>무취</t>
        </is>
      </c>
      <c r="N69" s="34" t="inlineStr">
        <is>
          <t>유용성</t>
        </is>
      </c>
      <c r="O69" s="34" t="inlineStr">
        <is>
          <t>B상</t>
        </is>
      </c>
      <c r="P69" s="34" t="inlineStr">
        <is>
          <t>매우 가볍고 빨리 사라짐</t>
        </is>
      </c>
      <c r="Q69" s="34" t="inlineStr">
        <is>
          <t>최상</t>
        </is>
      </c>
      <c r="R69" s="34" t="inlineStr">
        <is>
          <t>드라이</t>
        </is>
      </c>
      <c r="S69" s="34" t="inlineStr">
        <is>
          <t>2~8%</t>
        </is>
      </c>
      <c r="T69" s="34" t="inlineStr">
        <is>
          <t>안정</t>
        </is>
      </c>
      <c r="U69" s="34" t="inlineStr">
        <is>
          <t>코메도제닉 이미지 강함 → 여드름 피부 제품엔 피하기</t>
        </is>
      </c>
      <c r="V69" s="34" t="inlineStr">
        <is>
          <t>₩6,000/100g</t>
        </is>
      </c>
      <c r="W69" s="37" t="inlineStr">
        <is>
          <t>★★★☆☆</t>
        </is>
      </c>
      <c r="X69" s="34" t="inlineStr">
        <is>
          <t>서늘</t>
        </is>
      </c>
      <c r="Y69" s="34" t="inlineStr">
        <is>
          <t>제한 없음</t>
        </is>
      </c>
      <c r="Z69" s="34" t="inlineStr">
        <is>
          <t>—</t>
        </is>
      </c>
      <c r="AA69" s="34" t="inlineStr">
        <is>
          <t>에틸헥실팔미테이트·코코카프릴레이트</t>
        </is>
      </c>
      <c r="AB69" s="34" t="inlineStr">
        <is>
          <t>싸고 가벼움. 지성·트러블 라인엔 X</t>
        </is>
      </c>
      <c r="AC69" s="34" t="inlineStr">
        <is>
          <t>—</t>
        </is>
      </c>
      <c r="AD69" s="34" t="inlineStr">
        <is>
          <t>도감 기능성</t>
        </is>
      </c>
      <c r="AE69" s="38" t="n"/>
      <c r="AF69" s="39" t="n"/>
      <c r="AG69" s="38" t="n"/>
    </row>
    <row r="70" ht="92" customHeight="1">
      <c r="A70" s="46" t="n">
        <v>66</v>
      </c>
      <c r="B70" s="47" t="inlineStr">
        <is>
          <t>에틸헥실팔미테이트</t>
        </is>
      </c>
      <c r="C70" s="34" t="inlineStr">
        <is>
          <t>Ethylhexyl Palmitate</t>
        </is>
      </c>
      <c r="D70" s="37" t="inlineStr">
        <is>
          <t>–</t>
        </is>
      </c>
      <c r="E70" s="48" t="inlineStr">
        <is>
          <t>에몰리언트</t>
        </is>
      </c>
      <c r="F70" s="34" t="inlineStr">
        <is>
          <t>가벼운 범용 에스터</t>
        </is>
      </c>
      <c r="G70" s="34" t="inlineStr">
        <is>
          <t>합성(식물 지방산)</t>
        </is>
      </c>
      <c r="H70" s="34" t="inlineStr">
        <is>
          <t>팜 팔미트산 + 2-에틸헥산올</t>
        </is>
      </c>
      <c r="I70" s="34" t="inlineStr">
        <is>
          <t>에스터화</t>
        </is>
      </c>
      <c r="J70" s="34" t="inlineStr">
        <is>
          <t>분지 에스터</t>
        </is>
      </c>
      <c r="K70" s="34" t="inlineStr">
        <is>
          <t>액상</t>
        </is>
      </c>
      <c r="L70" s="34" t="inlineStr">
        <is>
          <t>무색</t>
        </is>
      </c>
      <c r="M70" s="34" t="inlineStr">
        <is>
          <t>무취</t>
        </is>
      </c>
      <c r="N70" s="34" t="inlineStr">
        <is>
          <t>유용성</t>
        </is>
      </c>
      <c r="O70" s="34" t="inlineStr">
        <is>
          <t>B상</t>
        </is>
      </c>
      <c r="P70" s="34" t="inlineStr">
        <is>
          <t>가볍고 매끈</t>
        </is>
      </c>
      <c r="Q70" s="34" t="inlineStr">
        <is>
          <t>좋음</t>
        </is>
      </c>
      <c r="R70" s="34" t="inlineStr">
        <is>
          <t>살짝 촉촉</t>
        </is>
      </c>
      <c r="S70" s="34" t="inlineStr">
        <is>
          <t>2~10%</t>
        </is>
      </c>
      <c r="T70" s="34" t="inlineStr">
        <is>
          <t>안정</t>
        </is>
      </c>
      <c r="U70" s="34" t="inlineStr">
        <is>
          <t>말라세지아 비세이프(C16)</t>
        </is>
      </c>
      <c r="V70" s="34" t="inlineStr">
        <is>
          <t>₩8,000/100g</t>
        </is>
      </c>
      <c r="W70" s="37" t="inlineStr">
        <is>
          <t>★★★☆☆</t>
        </is>
      </c>
      <c r="X70" s="34" t="inlineStr">
        <is>
          <t>서늘</t>
        </is>
      </c>
      <c r="Y70" s="34" t="inlineStr">
        <is>
          <t>제한 없음</t>
        </is>
      </c>
      <c r="Z70" s="34" t="inlineStr">
        <is>
          <t>—</t>
        </is>
      </c>
      <c r="AA70" s="34" t="inlineStr">
        <is>
          <t>IPM·세틸에틸헥사노에이트</t>
        </is>
      </c>
      <c r="AB70" s="34" t="inlineStr">
        <is>
          <t>색조·클렌징의 저가 에스터</t>
        </is>
      </c>
      <c r="AC70" s="34" t="inlineStr">
        <is>
          <t>—</t>
        </is>
      </c>
      <c r="AD70" s="34" t="inlineStr">
        <is>
          <t>도감 기능성</t>
        </is>
      </c>
      <c r="AE70" s="38" t="n"/>
      <c r="AF70" s="39" t="n"/>
      <c r="AG70" s="38" t="n"/>
    </row>
    <row r="71" ht="92" customHeight="1">
      <c r="A71" s="46" t="n">
        <v>67</v>
      </c>
      <c r="B71" s="47" t="inlineStr">
        <is>
          <t>세틸에틸헥사노에이트</t>
        </is>
      </c>
      <c r="C71" s="34" t="inlineStr">
        <is>
          <t>Cetyl Ethylhexanoate</t>
        </is>
      </c>
      <c r="D71" s="37" t="inlineStr">
        <is>
          <t>–</t>
        </is>
      </c>
      <c r="E71" s="48" t="inlineStr">
        <is>
          <t>에몰리언트</t>
        </is>
      </c>
      <c r="F71" s="34" t="inlineStr">
        <is>
          <t>클렌징 오일·가벼운 감촉</t>
        </is>
      </c>
      <c r="G71" s="34" t="inlineStr">
        <is>
          <t>합성</t>
        </is>
      </c>
      <c r="H71" s="34" t="inlineStr">
        <is>
          <t>세틸알코올 + 2-에틸헥산산</t>
        </is>
      </c>
      <c r="I71" s="34" t="inlineStr">
        <is>
          <t>에스터화</t>
        </is>
      </c>
      <c r="J71" s="34" t="inlineStr">
        <is>
          <t>분지 에스터</t>
        </is>
      </c>
      <c r="K71" s="34" t="inlineStr">
        <is>
          <t>액상</t>
        </is>
      </c>
      <c r="L71" s="34" t="inlineStr">
        <is>
          <t>무색</t>
        </is>
      </c>
      <c r="M71" s="34" t="inlineStr">
        <is>
          <t>무취</t>
        </is>
      </c>
      <c r="N71" s="34" t="inlineStr">
        <is>
          <t>유용성</t>
        </is>
      </c>
      <c r="O71" s="34" t="inlineStr">
        <is>
          <t>B상</t>
        </is>
      </c>
      <c r="P71" s="34" t="inlineStr">
        <is>
          <t>가볍고 산뜻</t>
        </is>
      </c>
      <c r="Q71" s="34" t="inlineStr">
        <is>
          <t>좋음</t>
        </is>
      </c>
      <c r="R71" s="34" t="inlineStr">
        <is>
          <t>잔여 적음</t>
        </is>
      </c>
      <c r="S71" s="34" t="inlineStr">
        <is>
          <t>2~10%</t>
        </is>
      </c>
      <c r="T71" s="34" t="inlineStr">
        <is>
          <t>안정</t>
        </is>
      </c>
      <c r="U71" s="34" t="inlineStr">
        <is>
          <t>클렌징 오일 베이스로 흔함(허브누리 등장)</t>
        </is>
      </c>
      <c r="V71" s="34" t="inlineStr">
        <is>
          <t>₩10,000/100g</t>
        </is>
      </c>
      <c r="W71" s="37" t="inlineStr">
        <is>
          <t>★★★☆☆</t>
        </is>
      </c>
      <c r="X71" s="34" t="inlineStr">
        <is>
          <t>서늘</t>
        </is>
      </c>
      <c r="Y71" s="34" t="inlineStr">
        <is>
          <t>제한 없음</t>
        </is>
      </c>
      <c r="Z71" s="34" t="inlineStr">
        <is>
          <t>—</t>
        </is>
      </c>
      <c r="AA71" s="34" t="inlineStr">
        <is>
          <t>에틸헥실팔미테이트·MCT</t>
        </is>
      </c>
      <c r="AB71" s="34" t="inlineStr">
        <is>
          <t>식물유보다 가볍고 산패 X</t>
        </is>
      </c>
      <c r="AC71" s="34" t="inlineStr">
        <is>
          <t>—</t>
        </is>
      </c>
      <c r="AD71" s="34" t="inlineStr">
        <is>
          <t>도감 기능성</t>
        </is>
      </c>
      <c r="AE71" s="38" t="n"/>
      <c r="AF71" s="39" t="n"/>
      <c r="AG71" s="38" t="n"/>
    </row>
    <row r="72" ht="92" customHeight="1">
      <c r="A72" s="46" t="n">
        <v>68</v>
      </c>
      <c r="B72" s="47" t="inlineStr">
        <is>
          <t>옥틸도데칸올</t>
        </is>
      </c>
      <c r="C72" s="34" t="inlineStr">
        <is>
          <t>Octyldodecanol</t>
        </is>
      </c>
      <c r="D72" s="37" t="inlineStr">
        <is>
          <t>–</t>
        </is>
      </c>
      <c r="E72" s="48" t="inlineStr">
        <is>
          <t>에몰리언트</t>
        </is>
      </c>
      <c r="F72" s="34" t="inlineStr">
        <is>
          <t>용제·립 광택·산화 안정</t>
        </is>
      </c>
      <c r="G72" s="34" t="inlineStr">
        <is>
          <t>합성</t>
        </is>
      </c>
      <c r="H72" s="34" t="inlineStr">
        <is>
          <t>지방알코올 이량화(게르베 반응)</t>
        </is>
      </c>
      <c r="I72" s="34" t="inlineStr">
        <is>
          <t>게르베 알코올 합성</t>
        </is>
      </c>
      <c r="J72" s="34" t="inlineStr">
        <is>
          <t>분지 지방알코올(C20)</t>
        </is>
      </c>
      <c r="K72" s="34" t="inlineStr">
        <is>
          <t>액상</t>
        </is>
      </c>
      <c r="L72" s="34" t="inlineStr">
        <is>
          <t>무색</t>
        </is>
      </c>
      <c r="M72" s="34" t="inlineStr">
        <is>
          <t>무취</t>
        </is>
      </c>
      <c r="N72" s="34" t="inlineStr">
        <is>
          <t>유용성</t>
        </is>
      </c>
      <c r="O72" s="34" t="inlineStr">
        <is>
          <t>B상</t>
        </is>
      </c>
      <c r="P72" s="34" t="inlineStr">
        <is>
          <t>부드럽고 약간 쿠션</t>
        </is>
      </c>
      <c r="Q72" s="34" t="inlineStr">
        <is>
          <t>좋음</t>
        </is>
      </c>
      <c r="R72" s="34" t="inlineStr">
        <is>
          <t>윤기</t>
        </is>
      </c>
      <c r="S72" s="34" t="inlineStr">
        <is>
          <t>2~10%</t>
        </is>
      </c>
      <c r="T72" s="34" t="inlineStr">
        <is>
          <t>매우 안정(에스터 아님)</t>
        </is>
      </c>
      <c r="U72" s="34" t="inlineStr">
        <is>
          <t>유기 자외선 필터·활성 용해에 좋음</t>
        </is>
      </c>
      <c r="V72" s="34" t="inlineStr">
        <is>
          <t>₩15,000/100g</t>
        </is>
      </c>
      <c r="W72" s="37" t="inlineStr">
        <is>
          <t>★★☆☆☆</t>
        </is>
      </c>
      <c r="X72" s="34" t="inlineStr">
        <is>
          <t>서늘</t>
        </is>
      </c>
      <c r="Y72" s="34" t="inlineStr">
        <is>
          <t>제한 없음</t>
        </is>
      </c>
      <c r="Z72" s="34" t="inlineStr">
        <is>
          <t>—</t>
        </is>
      </c>
      <c r="AA72" s="34" t="inlineStr">
        <is>
          <t>하이드로제네이티드폴리데센</t>
        </is>
      </c>
      <c r="AB72" s="34" t="inlineStr">
        <is>
          <t>산패 걱정 없는 '알코올형' 오일</t>
        </is>
      </c>
      <c r="AC72" s="34" t="inlineStr">
        <is>
          <t>—</t>
        </is>
      </c>
      <c r="AD72" s="34" t="inlineStr">
        <is>
          <t>도감 기능성</t>
        </is>
      </c>
      <c r="AE72" s="38" t="n"/>
      <c r="AF72" s="39" t="n"/>
      <c r="AG72" s="38" t="n"/>
    </row>
    <row r="73" ht="92" customHeight="1">
      <c r="A73" s="46" t="n">
        <v>69</v>
      </c>
      <c r="B73" s="47" t="inlineStr">
        <is>
          <t>하이드로제네이티드폴리데센</t>
        </is>
      </c>
      <c r="C73" s="34" t="inlineStr">
        <is>
          <t>Hydrogenated Polydecene</t>
        </is>
      </c>
      <c r="D73" s="37" t="inlineStr">
        <is>
          <t>–</t>
        </is>
      </c>
      <c r="E73" s="48" t="inlineStr">
        <is>
          <t>에몰리언트</t>
        </is>
      </c>
      <c r="F73" s="34" t="inlineStr">
        <is>
          <t>스쿠알란 유사·안정</t>
        </is>
      </c>
      <c r="G73" s="34" t="inlineStr">
        <is>
          <t>석유</t>
        </is>
      </c>
      <c r="H73" s="34" t="inlineStr">
        <is>
          <t>데센</t>
        </is>
      </c>
      <c r="I73" s="34" t="inlineStr">
        <is>
          <t>중합 → 수소화</t>
        </is>
      </c>
      <c r="J73" s="34" t="inlineStr">
        <is>
          <t>합성 탄화수소</t>
        </is>
      </c>
      <c r="K73" s="34" t="inlineStr">
        <is>
          <t>액상</t>
        </is>
      </c>
      <c r="L73" s="34" t="inlineStr">
        <is>
          <t>무색</t>
        </is>
      </c>
      <c r="M73" s="34" t="inlineStr">
        <is>
          <t>무취</t>
        </is>
      </c>
      <c r="N73" s="34" t="inlineStr">
        <is>
          <t>유용성</t>
        </is>
      </c>
      <c r="O73" s="34" t="inlineStr">
        <is>
          <t>B상</t>
        </is>
      </c>
      <c r="P73" s="34" t="inlineStr">
        <is>
          <t>스쿠알란처럼 가벼움</t>
        </is>
      </c>
      <c r="Q73" s="34" t="inlineStr">
        <is>
          <t>좋음</t>
        </is>
      </c>
      <c r="R73" s="34" t="inlineStr">
        <is>
          <t>보송에 가까움</t>
        </is>
      </c>
      <c r="S73" s="34" t="inlineStr">
        <is>
          <t>2~10%</t>
        </is>
      </c>
      <c r="T73" s="34" t="inlineStr">
        <is>
          <t>매우 안정</t>
        </is>
      </c>
      <c r="U73" s="34" t="inlineStr">
        <is>
          <t>스쿠알란 저가 대체(석유)</t>
        </is>
      </c>
      <c r="V73" s="34" t="inlineStr">
        <is>
          <t>₩10,000/100g</t>
        </is>
      </c>
      <c r="W73" s="37" t="inlineStr">
        <is>
          <t>★★☆☆☆</t>
        </is>
      </c>
      <c r="X73" s="34" t="inlineStr">
        <is>
          <t>서늘</t>
        </is>
      </c>
      <c r="Y73" s="34" t="inlineStr">
        <is>
          <t>제한 없음</t>
        </is>
      </c>
      <c r="Z73" s="34" t="inlineStr">
        <is>
          <t>—</t>
        </is>
      </c>
      <c r="AA73" s="34" t="inlineStr">
        <is>
          <t>스쿠알란·하이드로제네이티드폴리이소부텐</t>
        </is>
      </c>
      <c r="AB73" s="34" t="inlineStr">
        <is>
          <t>가격 안정·무취. '식물성' 소구 불가</t>
        </is>
      </c>
      <c r="AC73" s="34" t="inlineStr">
        <is>
          <t>—</t>
        </is>
      </c>
      <c r="AD73" s="34" t="inlineStr">
        <is>
          <t>도감 기능성</t>
        </is>
      </c>
      <c r="AE73" s="38" t="n"/>
      <c r="AF73" s="39" t="n"/>
      <c r="AG73" s="38" t="n"/>
    </row>
    <row r="74" ht="92" customHeight="1">
      <c r="A74" s="46" t="n">
        <v>70</v>
      </c>
      <c r="B74" s="47" t="inlineStr">
        <is>
          <t>콜레스테롤</t>
        </is>
      </c>
      <c r="C74" s="34" t="inlineStr">
        <is>
          <t>Cholesterol</t>
        </is>
      </c>
      <c r="D74" s="37" t="inlineStr">
        <is>
          <t>–</t>
        </is>
      </c>
      <c r="E74" s="48" t="inlineStr">
        <is>
          <t>에몰리언트</t>
        </is>
      </c>
      <c r="F74" s="34" t="inlineStr">
        <is>
          <t>장벽 지질(세라마이드 짝)</t>
        </is>
      </c>
      <c r="G74" s="34" t="inlineStr">
        <is>
          <t>동물/식물</t>
        </is>
      </c>
      <c r="H74" s="34" t="inlineStr">
        <is>
          <t>양모 라놀린 / 식물 스테롤 유래(피토)</t>
        </is>
      </c>
      <c r="I74" s="34" t="inlineStr">
        <is>
          <t>라놀린 정제·결정화 or 식물성 합성</t>
        </is>
      </c>
      <c r="J74" s="34" t="inlineStr">
        <is>
          <t>스테롤</t>
        </is>
      </c>
      <c r="K74" s="34" t="inlineStr">
        <is>
          <t>분말/플레이크</t>
        </is>
      </c>
      <c r="L74" s="34" t="inlineStr">
        <is>
          <t>백색</t>
        </is>
      </c>
      <c r="M74" s="34" t="inlineStr">
        <is>
          <t>무취</t>
        </is>
      </c>
      <c r="N74" s="34" t="inlineStr">
        <is>
          <t>유용성(녹는점 ~148℃)</t>
        </is>
      </c>
      <c r="O74" s="34" t="inlineStr">
        <is>
          <t>B상 고온 용해</t>
        </is>
      </c>
      <c r="P74" s="34" t="inlineStr">
        <is>
          <t>무감</t>
        </is>
      </c>
      <c r="Q74" s="34" t="inlineStr">
        <is>
          <t>—</t>
        </is>
      </c>
      <c r="R74" s="34" t="inlineStr">
        <is>
          <t>—</t>
        </is>
      </c>
      <c r="S74" s="34" t="inlineStr">
        <is>
          <t>0.1~1%</t>
        </is>
      </c>
      <c r="T74" s="34" t="inlineStr">
        <is>
          <t>산화 주의</t>
        </is>
      </c>
      <c r="U74" s="34" t="inlineStr">
        <is>
          <t>세라마이드:콜레스테롤:지방산 ≈ 3:1:1. 동물성 여부 확인(비건)</t>
        </is>
      </c>
      <c r="V74" s="34" t="inlineStr">
        <is>
          <t>₩20,000/50g</t>
        </is>
      </c>
      <c r="W74" s="37" t="inlineStr">
        <is>
          <t>★★☆☆☆</t>
        </is>
      </c>
      <c r="X74" s="34" t="inlineStr">
        <is>
          <t>서늘·차광</t>
        </is>
      </c>
      <c r="Y74" s="34" t="inlineStr">
        <is>
          <t>제한 없음</t>
        </is>
      </c>
      <c r="Z74" s="34" t="inlineStr">
        <is>
          <t>각질층 지질 3총사</t>
        </is>
      </c>
      <c r="AA74" s="34" t="inlineStr">
        <is>
          <t>세라마이드NP·피토스핑고신</t>
        </is>
      </c>
      <c r="AB74" s="34" t="inlineStr">
        <is>
          <t>장벽 크림의 '비율' 완성용</t>
        </is>
      </c>
      <c r="AC74" s="34" t="inlineStr">
        <is>
          <t>—</t>
        </is>
      </c>
      <c r="AD74" s="34" t="inlineStr">
        <is>
          <t>도감 기능성</t>
        </is>
      </c>
      <c r="AE74" s="38" t="n"/>
      <c r="AF74" s="39" t="n"/>
      <c r="AG74" s="38" t="n"/>
    </row>
    <row r="75" ht="92" customHeight="1">
      <c r="A75" s="46" t="n">
        <v>71</v>
      </c>
      <c r="B75" s="47" t="inlineStr">
        <is>
          <t>올리브오일</t>
        </is>
      </c>
      <c r="C75" s="34" t="inlineStr">
        <is>
          <t>Olea Europaea Fruit Oil</t>
        </is>
      </c>
      <c r="D75" s="37" t="inlineStr">
        <is>
          <t>–</t>
        </is>
      </c>
      <c r="E75" s="48" t="inlineStr">
        <is>
          <t>에몰리언트</t>
        </is>
      </c>
      <c r="F75" s="34" t="inlineStr">
        <is>
          <t>비누·밤 베이스</t>
        </is>
      </c>
      <c r="G75" s="34" t="inlineStr">
        <is>
          <t>식물</t>
        </is>
      </c>
      <c r="H75" s="34" t="inlineStr">
        <is>
          <t>올리브 열매</t>
        </is>
      </c>
      <c r="I75" s="34" t="inlineStr">
        <is>
          <t>냉압착(엑스트라버진) / 정제</t>
        </is>
      </c>
      <c r="J75" s="34" t="inlineStr">
        <is>
          <t>트리글리세라이드(올레산 70%↑)</t>
        </is>
      </c>
      <c r="K75" s="34" t="inlineStr">
        <is>
          <t>액상</t>
        </is>
      </c>
      <c r="L75" s="34" t="inlineStr">
        <is>
          <t>연두~황금</t>
        </is>
      </c>
      <c r="M75" s="34" t="inlineStr">
        <is>
          <t>올리브 향(미정제)</t>
        </is>
      </c>
      <c r="N75" s="34" t="inlineStr">
        <is>
          <t>유용성</t>
        </is>
      </c>
      <c r="O75" s="34" t="inlineStr">
        <is>
          <t>B상</t>
        </is>
      </c>
      <c r="P75" s="34" t="inlineStr">
        <is>
          <t>촉촉·무거움</t>
        </is>
      </c>
      <c r="Q75" s="34" t="inlineStr">
        <is>
          <t>중간</t>
        </is>
      </c>
      <c r="R75" s="34" t="inlineStr">
        <is>
          <t>기름막</t>
        </is>
      </c>
      <c r="S75" s="34" t="inlineStr">
        <is>
          <t>5~30%</t>
        </is>
      </c>
      <c r="T75" s="34" t="inlineStr">
        <is>
          <t>중간 안정</t>
        </is>
      </c>
      <c r="U75" s="34" t="inlineStr">
        <is>
          <t>말라세지아 비세이프. 미정제는 향·색 남음</t>
        </is>
      </c>
      <c r="V75" s="34" t="inlineStr">
        <is>
          <t>₩8,000/250ml</t>
        </is>
      </c>
      <c r="W75" s="37" t="inlineStr">
        <is>
          <t>★★★★★</t>
        </is>
      </c>
      <c r="X75" s="34" t="inlineStr">
        <is>
          <t>서늘·차광</t>
        </is>
      </c>
      <c r="Y75" s="34" t="inlineStr">
        <is>
          <t>제한 없음</t>
        </is>
      </c>
      <c r="Z75" s="34" t="inlineStr">
        <is>
          <t>—</t>
        </is>
      </c>
      <c r="AA75" s="34" t="inlineStr">
        <is>
          <t>동백오일·해바라기씨유</t>
        </is>
      </c>
      <c r="AB75" s="34" t="inlineStr">
        <is>
          <t>저렴·풍부한 데이터. 무거움</t>
        </is>
      </c>
      <c r="AC75" s="34" t="inlineStr">
        <is>
          <t>올리브 vs MCT 손등 흡수 시간</t>
        </is>
      </c>
      <c r="AD75" s="34" t="inlineStr">
        <is>
          <t>허브누리</t>
        </is>
      </c>
      <c r="AE75" s="38" t="n"/>
      <c r="AF75" s="39" t="n"/>
      <c r="AG75" s="38" t="n"/>
    </row>
    <row r="76" ht="92" customHeight="1">
      <c r="A76" s="46" t="n">
        <v>72</v>
      </c>
      <c r="B76" s="47" t="inlineStr">
        <is>
          <t>코코넛오일</t>
        </is>
      </c>
      <c r="C76" s="34" t="inlineStr">
        <is>
          <t>Cocos Nucifera Oil</t>
        </is>
      </c>
      <c r="D76" s="37" t="inlineStr">
        <is>
          <t>–</t>
        </is>
      </c>
      <c r="E76" s="48" t="inlineStr">
        <is>
          <t>에몰리언트</t>
        </is>
      </c>
      <c r="F76" s="34" t="inlineStr">
        <is>
          <t>밤·비누·헤어</t>
        </is>
      </c>
      <c r="G76" s="34" t="inlineStr">
        <is>
          <t>식물</t>
        </is>
      </c>
      <c r="H76" s="34" t="inlineStr">
        <is>
          <t>코코넛 과육</t>
        </is>
      </c>
      <c r="I76" s="34" t="inlineStr">
        <is>
          <t>압착(버진) / 정제(RBD, 무향) / 분별(MCT)</t>
        </is>
      </c>
      <c r="J76" s="34" t="inlineStr">
        <is>
          <t>트리글리세라이드(라우르산 C12 ~50%)</t>
        </is>
      </c>
      <c r="K76" s="34" t="inlineStr">
        <is>
          <t>반고체(녹는점 ~24℃)</t>
        </is>
      </c>
      <c r="L76" s="34" t="inlineStr">
        <is>
          <t>백색(고체)</t>
        </is>
      </c>
      <c r="M76" s="34" t="inlineStr">
        <is>
          <t>버진: 코코넛향</t>
        </is>
      </c>
      <c r="N76" s="34" t="inlineStr">
        <is>
          <t>유용성</t>
        </is>
      </c>
      <c r="O76" s="34" t="inlineStr">
        <is>
          <t>B상</t>
        </is>
      </c>
      <c r="P76" s="34" t="inlineStr">
        <is>
          <t>녹으며 가볍게, 실온 고체</t>
        </is>
      </c>
      <c r="Q76" s="34" t="inlineStr">
        <is>
          <t>좋음</t>
        </is>
      </c>
      <c r="R76" s="34" t="inlineStr">
        <is>
          <t>촉촉</t>
        </is>
      </c>
      <c r="S76" s="34" t="inlineStr">
        <is>
          <t>5~30%</t>
        </is>
      </c>
      <c r="T76" s="34" t="inlineStr">
        <is>
          <t>매우 안정(포화)</t>
        </is>
      </c>
      <c r="U76" s="34" t="inlineStr">
        <is>
          <t>★ 코메도제닉·말라세지아 비세이프. 겨울엔 굳어 계량 시 녹이기</t>
        </is>
      </c>
      <c r="V76" s="34" t="inlineStr">
        <is>
          <t>₩8,000/300ml</t>
        </is>
      </c>
      <c r="W76" s="37" t="inlineStr">
        <is>
          <t>★★★★★</t>
        </is>
      </c>
      <c r="X76" s="34" t="inlineStr">
        <is>
          <t>서늘</t>
        </is>
      </c>
      <c r="Y76" s="34" t="inlineStr">
        <is>
          <t>제한 없음</t>
        </is>
      </c>
      <c r="Z76" s="34" t="inlineStr">
        <is>
          <t>포화지방 = 산화 안정</t>
        </is>
      </c>
      <c r="AA76" s="34" t="inlineStr">
        <is>
          <t>MCT(분별 코코넛)·바바수오일</t>
        </is>
      </c>
      <c r="AB76" s="34" t="inlineStr">
        <is>
          <t>바디·헤어엔 좋음, 얼굴 지성엔 X</t>
        </is>
      </c>
      <c r="AC76" s="34" t="inlineStr">
        <is>
          <t>코코넛오일 냉장/실온 상태 변화 관찰</t>
        </is>
      </c>
      <c r="AD76" s="34" t="inlineStr">
        <is>
          <t>허브누리</t>
        </is>
      </c>
      <c r="AE76" s="38" t="n"/>
      <c r="AF76" s="39" t="n"/>
      <c r="AG76" s="38" t="n"/>
    </row>
    <row r="77" ht="92" customHeight="1">
      <c r="A77" s="46" t="n">
        <v>73</v>
      </c>
      <c r="B77" s="47" t="inlineStr">
        <is>
          <t>코코아버터</t>
        </is>
      </c>
      <c r="C77" s="34" t="inlineStr">
        <is>
          <t>Theobroma Cacao Seed Butter</t>
        </is>
      </c>
      <c r="D77" s="37" t="inlineStr">
        <is>
          <t>–</t>
        </is>
      </c>
      <c r="E77" s="48" t="inlineStr">
        <is>
          <t>에몰리언트</t>
        </is>
      </c>
      <c r="F77" s="34" t="inlineStr">
        <is>
          <t>경도·립밤·바디</t>
        </is>
      </c>
      <c r="G77" s="34" t="inlineStr">
        <is>
          <t>식물</t>
        </is>
      </c>
      <c r="H77" s="34" t="inlineStr">
        <is>
          <t>카카오 콩</t>
        </is>
      </c>
      <c r="I77" s="34" t="inlineStr">
        <is>
          <t>볶음 → 압착 → 정제(탈취) / 미정제</t>
        </is>
      </c>
      <c r="J77" s="34" t="inlineStr">
        <is>
          <t>트리글리세라이드(스테아르·팔미트·올레)</t>
        </is>
      </c>
      <c r="K77" s="34" t="inlineStr">
        <is>
          <t>고체</t>
        </is>
      </c>
      <c r="L77" s="34" t="inlineStr">
        <is>
          <t>미정제 연갈색 / 정제 연노랑</t>
        </is>
      </c>
      <c r="M77" s="34" t="inlineStr">
        <is>
          <t>미정제 초콜릿향</t>
        </is>
      </c>
      <c r="N77" s="34" t="inlineStr">
        <is>
          <t>유용성(녹는점 34~38℃)</t>
        </is>
      </c>
      <c r="O77" s="34" t="inlineStr">
        <is>
          <t>B상</t>
        </is>
      </c>
      <c r="P77" s="34" t="inlineStr">
        <is>
          <t>단단·체온에 녹음</t>
        </is>
      </c>
      <c r="Q77" s="34" t="inlineStr">
        <is>
          <t>녹으며 퍼짐</t>
        </is>
      </c>
      <c r="R77" s="34" t="inlineStr">
        <is>
          <t>보호막</t>
        </is>
      </c>
      <c r="S77" s="34" t="inlineStr">
        <is>
          <t>립 20~40% / 바디 5~15%</t>
        </is>
      </c>
      <c r="T77" s="34" t="inlineStr">
        <is>
          <t>다형성 → 서냉 시 블룸·그레이니</t>
        </is>
      </c>
      <c r="U77" s="34" t="inlineStr">
        <is>
          <t>급냉 필수. 시어보다 단단</t>
        </is>
      </c>
      <c r="V77" s="34" t="inlineStr">
        <is>
          <t>₩10,000/200g</t>
        </is>
      </c>
      <c r="W77" s="37" t="inlineStr">
        <is>
          <t>★★★★☆</t>
        </is>
      </c>
      <c r="X77" s="34" t="inlineStr">
        <is>
          <t>서늘·차광</t>
        </is>
      </c>
      <c r="Y77" s="34" t="inlineStr">
        <is>
          <t>제한 없음</t>
        </is>
      </c>
      <c r="Z77" s="34" t="inlineStr">
        <is>
          <t>—</t>
        </is>
      </c>
      <c r="AA77" s="34" t="inlineStr">
        <is>
          <t>시어버터·망고버터</t>
        </is>
      </c>
      <c r="AB77" s="34" t="inlineStr">
        <is>
          <t>립밤 '단단함' 담당</t>
        </is>
      </c>
      <c r="AC77" s="34" t="inlineStr">
        <is>
          <t>—</t>
        </is>
      </c>
      <c r="AD77" s="34" t="inlineStr">
        <is>
          <t>허브누리</t>
        </is>
      </c>
      <c r="AE77" s="38" t="n"/>
      <c r="AF77" s="39" t="n"/>
      <c r="AG77" s="38" t="n"/>
    </row>
    <row r="78" ht="92" customHeight="1">
      <c r="A78" s="46" t="n">
        <v>74</v>
      </c>
      <c r="B78" s="47" t="inlineStr">
        <is>
          <t>망고버터</t>
        </is>
      </c>
      <c r="C78" s="34" t="inlineStr">
        <is>
          <t>Mangifera Indica Seed Butter</t>
        </is>
      </c>
      <c r="D78" s="37" t="inlineStr">
        <is>
          <t>–</t>
        </is>
      </c>
      <c r="E78" s="48" t="inlineStr">
        <is>
          <t>에몰리언트</t>
        </is>
      </c>
      <c r="F78" s="34" t="inlineStr">
        <is>
          <t>부드러운 바디감</t>
        </is>
      </c>
      <c r="G78" s="34" t="inlineStr">
        <is>
          <t>식물</t>
        </is>
      </c>
      <c r="H78" s="34" t="inlineStr">
        <is>
          <t>망고 씨</t>
        </is>
      </c>
      <c r="I78" s="34" t="inlineStr">
        <is>
          <t>압착 → 정제</t>
        </is>
      </c>
      <c r="J78" s="34" t="inlineStr">
        <is>
          <t>트리글리세라이드(스테아르·올레)</t>
        </is>
      </c>
      <c r="K78" s="34" t="inlineStr">
        <is>
          <t>고체(부드러움)</t>
        </is>
      </c>
      <c r="L78" s="34" t="inlineStr">
        <is>
          <t>백색~연노랑</t>
        </is>
      </c>
      <c r="M78" s="34" t="inlineStr">
        <is>
          <t>거의 무취</t>
        </is>
      </c>
      <c r="N78" s="34" t="inlineStr">
        <is>
          <t>유용성(녹는점 ~30~35℃)</t>
        </is>
      </c>
      <c r="O78" s="34" t="inlineStr">
        <is>
          <t>B상</t>
        </is>
      </c>
      <c r="P78" s="34" t="inlineStr">
        <is>
          <t>시어보다 가볍고 덜 기름짐</t>
        </is>
      </c>
      <c r="Q78" s="34" t="inlineStr">
        <is>
          <t>좋음</t>
        </is>
      </c>
      <c r="R78" s="34" t="inlineStr">
        <is>
          <t>보들</t>
        </is>
      </c>
      <c r="S78" s="34" t="inlineStr">
        <is>
          <t>2~10%</t>
        </is>
      </c>
      <c r="T78" s="34" t="inlineStr">
        <is>
          <t>그레이니 가능(급냉)</t>
        </is>
      </c>
      <c r="U78" s="34" t="inlineStr">
        <is>
          <t>말라세지아 비세이프</t>
        </is>
      </c>
      <c r="V78" s="34" t="inlineStr">
        <is>
          <t>₩10,000/200g</t>
        </is>
      </c>
      <c r="W78" s="37" t="inlineStr">
        <is>
          <t>★★★★☆</t>
        </is>
      </c>
      <c r="X78" s="34" t="inlineStr">
        <is>
          <t>서늘</t>
        </is>
      </c>
      <c r="Y78" s="34" t="inlineStr">
        <is>
          <t>제한 없음</t>
        </is>
      </c>
      <c r="Z78" s="34" t="inlineStr">
        <is>
          <t>—</t>
        </is>
      </c>
      <c r="AA78" s="34" t="inlineStr">
        <is>
          <t>시어버터·코포아수</t>
        </is>
      </c>
      <c r="AB78" s="34" t="inlineStr">
        <is>
          <t>시어의 가벼운 대체</t>
        </is>
      </c>
      <c r="AC78" s="34" t="inlineStr">
        <is>
          <t>—</t>
        </is>
      </c>
      <c r="AD78" s="34" t="inlineStr">
        <is>
          <t>허브누리</t>
        </is>
      </c>
      <c r="AE78" s="38" t="n"/>
      <c r="AF78" s="39" t="n"/>
      <c r="AG78" s="38" t="n"/>
    </row>
    <row r="79" ht="92" customHeight="1">
      <c r="A79" s="46" t="n">
        <v>75</v>
      </c>
      <c r="B79" s="47" t="inlineStr">
        <is>
          <t>코포아수버터</t>
        </is>
      </c>
      <c r="C79" s="34" t="inlineStr">
        <is>
          <t>Theobroma Grandiflorum Seed Butter</t>
        </is>
      </c>
      <c r="D79" s="37" t="inlineStr">
        <is>
          <t>–</t>
        </is>
      </c>
      <c r="E79" s="48" t="inlineStr">
        <is>
          <t>에몰리언트</t>
        </is>
      </c>
      <c r="F79" s="34" t="inlineStr">
        <is>
          <t>수분 흡수력(보습 버터)</t>
        </is>
      </c>
      <c r="G79" s="34" t="inlineStr">
        <is>
          <t>식물</t>
        </is>
      </c>
      <c r="H79" s="34" t="inlineStr">
        <is>
          <t>코포아수 씨(아마존)</t>
        </is>
      </c>
      <c r="I79" s="34" t="inlineStr">
        <is>
          <t>압착 → 정제</t>
        </is>
      </c>
      <c r="J79" s="34" t="inlineStr">
        <is>
          <t>트리글리세라이드</t>
        </is>
      </c>
      <c r="K79" s="34" t="inlineStr">
        <is>
          <t>고체(부드러움)</t>
        </is>
      </c>
      <c r="L79" s="34" t="inlineStr">
        <is>
          <t>백색~크림</t>
        </is>
      </c>
      <c r="M79" s="34" t="inlineStr">
        <is>
          <t>약한 냄새</t>
        </is>
      </c>
      <c r="N79" s="34" t="inlineStr">
        <is>
          <t>유용성(녹는점 ~30℃)</t>
        </is>
      </c>
      <c r="O79" s="34" t="inlineStr">
        <is>
          <t>B상</t>
        </is>
      </c>
      <c r="P79" s="34" t="inlineStr">
        <is>
          <t>부드럽고 촉촉</t>
        </is>
      </c>
      <c r="Q79" s="34" t="inlineStr">
        <is>
          <t>좋음</t>
        </is>
      </c>
      <c r="R79" s="34" t="inlineStr">
        <is>
          <t>촉촉</t>
        </is>
      </c>
      <c r="S79" s="34" t="inlineStr">
        <is>
          <t>2~10%</t>
        </is>
      </c>
      <c r="T79" s="34" t="inlineStr">
        <is>
          <t>보통</t>
        </is>
      </c>
      <c r="U79" s="34" t="inlineStr">
        <is>
          <t>물 흡수력 높음(라놀린 유사) — 밤·연고 보습↑</t>
        </is>
      </c>
      <c r="V79" s="34" t="inlineStr">
        <is>
          <t>₩15,000/100g</t>
        </is>
      </c>
      <c r="W79" s="37" t="inlineStr">
        <is>
          <t>★★★☆☆</t>
        </is>
      </c>
      <c r="X79" s="34" t="inlineStr">
        <is>
          <t>서늘</t>
        </is>
      </c>
      <c r="Y79" s="34" t="inlineStr">
        <is>
          <t>제한 없음</t>
        </is>
      </c>
      <c r="Z79" s="34" t="inlineStr">
        <is>
          <t>—</t>
        </is>
      </c>
      <c r="AA79" s="34" t="inlineStr">
        <is>
          <t>시어버터·라놀린</t>
        </is>
      </c>
      <c r="AB79" s="34" t="inlineStr">
        <is>
          <t>'비건 라놀린' 스토리</t>
        </is>
      </c>
      <c r="AC79" s="34" t="inlineStr">
        <is>
          <t>—</t>
        </is>
      </c>
      <c r="AD79" s="34" t="inlineStr">
        <is>
          <t>허브누리</t>
        </is>
      </c>
      <c r="AE79" s="38" t="n"/>
      <c r="AF79" s="39" t="n"/>
      <c r="AG79" s="38" t="n"/>
    </row>
    <row r="80" ht="92" customHeight="1">
      <c r="A80" s="46" t="n">
        <v>76</v>
      </c>
      <c r="B80" s="47" t="inlineStr">
        <is>
          <t>마카다미아넛오일</t>
        </is>
      </c>
      <c r="C80" s="34" t="inlineStr">
        <is>
          <t>Macadamia Ternifolia Seed Oil</t>
        </is>
      </c>
      <c r="D80" s="37" t="inlineStr">
        <is>
          <t>–</t>
        </is>
      </c>
      <c r="E80" s="48" t="inlineStr">
        <is>
          <t>에몰리언트</t>
        </is>
      </c>
      <c r="F80" s="34" t="inlineStr">
        <is>
          <t>피지 유사(팔미톨레산)</t>
        </is>
      </c>
      <c r="G80" s="34" t="inlineStr">
        <is>
          <t>식물</t>
        </is>
      </c>
      <c r="H80" s="34" t="inlineStr">
        <is>
          <t>마카다미아 견과</t>
        </is>
      </c>
      <c r="I80" s="34" t="inlineStr">
        <is>
          <t>냉압착 → 정제</t>
        </is>
      </c>
      <c r="J80" s="34" t="inlineStr">
        <is>
          <t>트리글리세라이드(올레·팔미톨레)</t>
        </is>
      </c>
      <c r="K80" s="34" t="inlineStr">
        <is>
          <t>액상</t>
        </is>
      </c>
      <c r="L80" s="34" t="inlineStr">
        <is>
          <t>연노랑</t>
        </is>
      </c>
      <c r="M80" s="34" t="inlineStr">
        <is>
          <t>약한 견과향</t>
        </is>
      </c>
      <c r="N80" s="34" t="inlineStr">
        <is>
          <t>유용성</t>
        </is>
      </c>
      <c r="O80" s="34" t="inlineStr">
        <is>
          <t>B상</t>
        </is>
      </c>
      <c r="P80" s="34" t="inlineStr">
        <is>
          <t>가볍고 촉촉</t>
        </is>
      </c>
      <c r="Q80" s="34" t="inlineStr">
        <is>
          <t>좋음</t>
        </is>
      </c>
      <c r="R80" s="34" t="inlineStr">
        <is>
          <t>약간 윤기</t>
        </is>
      </c>
      <c r="S80" s="34" t="inlineStr">
        <is>
          <t>3~15%</t>
        </is>
      </c>
      <c r="T80" s="34" t="inlineStr">
        <is>
          <t>비교적 안정</t>
        </is>
      </c>
      <c r="U80" s="34" t="inlineStr">
        <is>
          <t>견과 알레르기 표기 고려</t>
        </is>
      </c>
      <c r="V80" s="34" t="inlineStr">
        <is>
          <t>₩10,000/100ml</t>
        </is>
      </c>
      <c r="W80" s="37" t="inlineStr">
        <is>
          <t>★★★★☆</t>
        </is>
      </c>
      <c r="X80" s="34" t="inlineStr">
        <is>
          <t>서늘</t>
        </is>
      </c>
      <c r="Y80" s="34" t="inlineStr">
        <is>
          <t>제한 없음</t>
        </is>
      </c>
      <c r="Z80" s="34" t="inlineStr">
        <is>
          <t>—</t>
        </is>
      </c>
      <c r="AA80" s="34" t="inlineStr">
        <is>
          <t>호호바·스윗아몬드</t>
        </is>
      </c>
      <c r="AB80" s="34" t="inlineStr">
        <is>
          <t>나이든 피부 '피지 보충' 스토리</t>
        </is>
      </c>
      <c r="AC80" s="34" t="inlineStr">
        <is>
          <t>—</t>
        </is>
      </c>
      <c r="AD80" s="34" t="inlineStr">
        <is>
          <t>허브누리</t>
        </is>
      </c>
      <c r="AE80" s="38" t="n"/>
      <c r="AF80" s="39" t="n"/>
      <c r="AG80" s="38" t="n"/>
    </row>
    <row r="81" ht="92" customHeight="1">
      <c r="A81" s="46" t="n">
        <v>77</v>
      </c>
      <c r="B81" s="47" t="inlineStr">
        <is>
          <t>녹차씨오일</t>
        </is>
      </c>
      <c r="C81" s="34" t="inlineStr">
        <is>
          <t>Camellia Sinensis Seed Oil</t>
        </is>
      </c>
      <c r="D81" s="37" t="inlineStr">
        <is>
          <t>–</t>
        </is>
      </c>
      <c r="E81" s="48" t="inlineStr">
        <is>
          <t>에몰리언트</t>
        </is>
      </c>
      <c r="F81" s="34" t="inlineStr">
        <is>
          <t>가벼운 K-로컬 오일</t>
        </is>
      </c>
      <c r="G81" s="34" t="inlineStr">
        <is>
          <t>식물</t>
        </is>
      </c>
      <c r="H81" s="34" t="inlineStr">
        <is>
          <t>녹차 씨(보성·제주)</t>
        </is>
      </c>
      <c r="I81" s="34" t="inlineStr">
        <is>
          <t>압착 → 정제</t>
        </is>
      </c>
      <c r="J81" s="34" t="inlineStr">
        <is>
          <t>트리글리세라이드(올레·리놀레)</t>
        </is>
      </c>
      <c r="K81" s="34" t="inlineStr">
        <is>
          <t>액상</t>
        </is>
      </c>
      <c r="L81" s="34" t="inlineStr">
        <is>
          <t>연노랑</t>
        </is>
      </c>
      <c r="M81" s="34" t="inlineStr">
        <is>
          <t>약한 냄새</t>
        </is>
      </c>
      <c r="N81" s="34" t="inlineStr">
        <is>
          <t>유용성</t>
        </is>
      </c>
      <c r="O81" s="34" t="inlineStr">
        <is>
          <t>B상</t>
        </is>
      </c>
      <c r="P81" s="34" t="inlineStr">
        <is>
          <t>가볍게 흡수</t>
        </is>
      </c>
      <c r="Q81" s="34" t="inlineStr">
        <is>
          <t>좋음</t>
        </is>
      </c>
      <c r="R81" s="34" t="inlineStr">
        <is>
          <t>산뜻</t>
        </is>
      </c>
      <c r="S81" s="34" t="inlineStr">
        <is>
          <t>3~10%</t>
        </is>
      </c>
      <c r="T81" s="34" t="inlineStr">
        <is>
          <t>중간</t>
        </is>
      </c>
      <c r="U81" s="34" t="inlineStr">
        <is>
          <t>말라세지아 비세이프</t>
        </is>
      </c>
      <c r="V81" s="34" t="inlineStr">
        <is>
          <t>₩15,000/100ml</t>
        </is>
      </c>
      <c r="W81" s="37" t="inlineStr">
        <is>
          <t>★★★☆☆</t>
        </is>
      </c>
      <c r="X81" s="34" t="inlineStr">
        <is>
          <t>서늘·차광</t>
        </is>
      </c>
      <c r="Y81" s="34" t="inlineStr">
        <is>
          <t>제한 없음</t>
        </is>
      </c>
      <c r="Z81" s="34" t="inlineStr">
        <is>
          <t>—</t>
        </is>
      </c>
      <c r="AA81" s="34" t="inlineStr">
        <is>
          <t>동백오일</t>
        </is>
      </c>
      <c r="AB81" s="34" t="inlineStr">
        <is>
          <t>녹차 라인 스토리 연결</t>
        </is>
      </c>
      <c r="AC81" s="34" t="inlineStr">
        <is>
          <t>—</t>
        </is>
      </c>
      <c r="AD81" s="34" t="inlineStr">
        <is>
          <t>허브누리</t>
        </is>
      </c>
      <c r="AE81" s="38" t="n"/>
      <c r="AF81" s="39" t="n"/>
      <c r="AG81" s="38" t="n"/>
    </row>
    <row r="82" ht="92" customHeight="1">
      <c r="A82" s="46" t="n">
        <v>78</v>
      </c>
      <c r="B82" s="47" t="inlineStr">
        <is>
          <t>아보카도오일</t>
        </is>
      </c>
      <c r="C82" s="34" t="inlineStr">
        <is>
          <t>Persea Gratissima Oil</t>
        </is>
      </c>
      <c r="D82" s="37" t="inlineStr">
        <is>
          <t>–</t>
        </is>
      </c>
      <c r="E82" s="48" t="inlineStr">
        <is>
          <t>에몰리언트</t>
        </is>
      </c>
      <c r="F82" s="34" t="inlineStr">
        <is>
          <t>리치 보습</t>
        </is>
      </c>
      <c r="G82" s="34" t="inlineStr">
        <is>
          <t>식물</t>
        </is>
      </c>
      <c r="H82" s="34" t="inlineStr">
        <is>
          <t>아보카도 과육</t>
        </is>
      </c>
      <c r="I82" s="34" t="inlineStr">
        <is>
          <t>압착 → 비정제(녹색)/정제</t>
        </is>
      </c>
      <c r="J82" s="34" t="inlineStr">
        <is>
          <t>트리글리세라이드(올레산)+불검화물</t>
        </is>
      </c>
      <c r="K82" s="34" t="inlineStr">
        <is>
          <t>액상(저온 탁해짐)</t>
        </is>
      </c>
      <c r="L82" s="34" t="inlineStr">
        <is>
          <t>비정제 진녹색 / 정제 연노랑</t>
        </is>
      </c>
      <c r="M82" s="34" t="inlineStr">
        <is>
          <t>비정제 풀향</t>
        </is>
      </c>
      <c r="N82" s="34" t="inlineStr">
        <is>
          <t>유용성</t>
        </is>
      </c>
      <c r="O82" s="34" t="inlineStr">
        <is>
          <t>B상</t>
        </is>
      </c>
      <c r="P82" s="34" t="inlineStr">
        <is>
          <t>무겁고 촉촉</t>
        </is>
      </c>
      <c r="Q82" s="34" t="inlineStr">
        <is>
          <t>중간</t>
        </is>
      </c>
      <c r="R82" s="34" t="inlineStr">
        <is>
          <t>기름막</t>
        </is>
      </c>
      <c r="S82" s="34" t="inlineStr">
        <is>
          <t>3~10%</t>
        </is>
      </c>
      <c r="T82" s="34" t="inlineStr">
        <is>
          <t>중간</t>
        </is>
      </c>
      <c r="U82" s="34" t="inlineStr">
        <is>
          <t>비정제는 색·향이 제품에 드러남</t>
        </is>
      </c>
      <c r="V82" s="34" t="inlineStr">
        <is>
          <t>₩10,000/100ml</t>
        </is>
      </c>
      <c r="W82" s="37" t="inlineStr">
        <is>
          <t>★★★★☆</t>
        </is>
      </c>
      <c r="X82" s="34" t="inlineStr">
        <is>
          <t>서늘·차광</t>
        </is>
      </c>
      <c r="Y82" s="34" t="inlineStr">
        <is>
          <t>제한 없음</t>
        </is>
      </c>
      <c r="Z82" s="34" t="inlineStr">
        <is>
          <t>—</t>
        </is>
      </c>
      <c r="AA82" s="34" t="inlineStr">
        <is>
          <t>시어버터·올리브</t>
        </is>
      </c>
      <c r="AB82" s="34" t="inlineStr">
        <is>
          <t>건성 리치 크림</t>
        </is>
      </c>
      <c r="AC82" s="34" t="inlineStr">
        <is>
          <t>—</t>
        </is>
      </c>
      <c r="AD82" s="34" t="inlineStr">
        <is>
          <t>허브누리</t>
        </is>
      </c>
      <c r="AE82" s="38" t="n"/>
      <c r="AF82" s="39" t="n"/>
      <c r="AG82" s="38" t="n"/>
    </row>
    <row r="83" ht="92" customHeight="1">
      <c r="A83" s="46" t="n">
        <v>79</v>
      </c>
      <c r="B83" s="47" t="inlineStr">
        <is>
          <t>햄프씨드오일</t>
        </is>
      </c>
      <c r="C83" s="34" t="inlineStr">
        <is>
          <t>Cannabis Sativa Seed Oil</t>
        </is>
      </c>
      <c r="D83" s="37" t="inlineStr">
        <is>
          <t>–</t>
        </is>
      </c>
      <c r="E83" s="48" t="inlineStr">
        <is>
          <t>에몰리언트</t>
        </is>
      </c>
      <c r="F83" s="34" t="inlineStr">
        <is>
          <t>가볍고 리놀레·리놀렌 풍부</t>
        </is>
      </c>
      <c r="G83" s="34" t="inlineStr">
        <is>
          <t>식물</t>
        </is>
      </c>
      <c r="H83" s="34" t="inlineStr">
        <is>
          <t>대마 씨앗</t>
        </is>
      </c>
      <c r="I83" s="34" t="inlineStr">
        <is>
          <t>냉압착</t>
        </is>
      </c>
      <c r="J83" s="34" t="inlineStr">
        <is>
          <t>트리글리세라이드(다중불포화)</t>
        </is>
      </c>
      <c r="K83" s="34" t="inlineStr">
        <is>
          <t>액상</t>
        </is>
      </c>
      <c r="L83" s="34" t="inlineStr">
        <is>
          <t>진녹색</t>
        </is>
      </c>
      <c r="M83" s="34" t="inlineStr">
        <is>
          <t>풀·견과향</t>
        </is>
      </c>
      <c r="N83" s="34" t="inlineStr">
        <is>
          <t>유용성</t>
        </is>
      </c>
      <c r="O83" s="34" t="inlineStr">
        <is>
          <t>냉각상</t>
        </is>
      </c>
      <c r="P83" s="34" t="inlineStr">
        <is>
          <t>가볍고 건성 피니시</t>
        </is>
      </c>
      <c r="Q83" s="34" t="inlineStr">
        <is>
          <t>좋음</t>
        </is>
      </c>
      <c r="R83" s="34" t="inlineStr">
        <is>
          <t>산뜻</t>
        </is>
      </c>
      <c r="S83" s="34" t="inlineStr">
        <is>
          <t>1~10%</t>
        </is>
      </c>
      <c r="T83" s="34" t="inlineStr">
        <is>
          <t>★ 산화 빠름 → 냉장·토코페롤</t>
        </is>
      </c>
      <c r="U83" s="34" t="inlineStr">
        <is>
          <t>★ 대마 유래 → 국가별 규제 상이(국내 대마 관련 성분 기준·THC 확인), 수출 전 반드시 확인</t>
        </is>
      </c>
      <c r="V83" s="34" t="inlineStr">
        <is>
          <t>₩15,000/100ml</t>
        </is>
      </c>
      <c r="W83" s="37" t="inlineStr">
        <is>
          <t>★★★☆☆</t>
        </is>
      </c>
      <c r="X83" s="34" t="inlineStr">
        <is>
          <t>냉장·차광</t>
        </is>
      </c>
      <c r="Y83" s="34" t="inlineStr">
        <is>
          <t>원료 기준 확인 필수(대마 관련 규정)</t>
        </is>
      </c>
      <c r="Z83" s="34" t="inlineStr">
        <is>
          <t>원료 규제가 나라별로 다른 사례</t>
        </is>
      </c>
      <c r="AA83" s="34" t="inlineStr">
        <is>
          <t>로즈힙·달맞이</t>
        </is>
      </c>
      <c r="AB83" s="34" t="inlineStr">
        <is>
          <t>유행 원료지만 규제 리스크 학습용</t>
        </is>
      </c>
      <c r="AC83" s="34" t="inlineStr">
        <is>
          <t>—</t>
        </is>
      </c>
      <c r="AD83" s="34" t="inlineStr">
        <is>
          <t>허브누리</t>
        </is>
      </c>
      <c r="AE83" s="38" t="n"/>
      <c r="AF83" s="39" t="n"/>
      <c r="AG83" s="38" t="n"/>
    </row>
    <row r="84" ht="92" customHeight="1">
      <c r="A84" s="46" t="n">
        <v>80</v>
      </c>
      <c r="B84" s="47" t="inlineStr">
        <is>
          <t>피마자오일</t>
        </is>
      </c>
      <c r="C84" s="34" t="inlineStr">
        <is>
          <t>Ricinus Communis Seed Oil</t>
        </is>
      </c>
      <c r="D84" s="37" t="inlineStr">
        <is>
          <t>–</t>
        </is>
      </c>
      <c r="E84" s="48" t="inlineStr">
        <is>
          <t>에몰리언트</t>
        </is>
      </c>
      <c r="F84" s="34" t="inlineStr">
        <is>
          <t>립 광택·클렌징·헤어</t>
        </is>
      </c>
      <c r="G84" s="34" t="inlineStr">
        <is>
          <t>식물</t>
        </is>
      </c>
      <c r="H84" s="34" t="inlineStr">
        <is>
          <t>피마자 씨</t>
        </is>
      </c>
      <c r="I84" s="34" t="inlineStr">
        <is>
          <t>냉압착 → 정제(리신 단백 제거)</t>
        </is>
      </c>
      <c r="J84" s="34" t="inlineStr">
        <is>
          <t>트리글리세라이드(리시놀레산 ~90%)</t>
        </is>
      </c>
      <c r="K84" s="34" t="inlineStr">
        <is>
          <t>고점성 액</t>
        </is>
      </c>
      <c r="L84" s="34" t="inlineStr">
        <is>
          <t>무색~연노랑</t>
        </is>
      </c>
      <c r="M84" s="34" t="inlineStr">
        <is>
          <t>약한 냄새</t>
        </is>
      </c>
      <c r="N84" s="34" t="inlineStr">
        <is>
          <t>유용성(에탄올에도 일부)</t>
        </is>
      </c>
      <c r="O84" s="34" t="inlineStr">
        <is>
          <t>B상</t>
        </is>
      </c>
      <c r="P84" s="34" t="inlineStr">
        <is>
          <t>끈적·쫀득·광택</t>
        </is>
      </c>
      <c r="Q84" s="34" t="inlineStr">
        <is>
          <t>무거움</t>
        </is>
      </c>
      <c r="R84" s="34" t="inlineStr">
        <is>
          <t>광택막</t>
        </is>
      </c>
      <c r="S84" s="34" t="inlineStr">
        <is>
          <t>립 10~40% / 클렌징 5~15%</t>
        </is>
      </c>
      <c r="T84" s="34" t="inlineStr">
        <is>
          <t>안정</t>
        </is>
      </c>
      <c r="U84" s="34" t="inlineStr">
        <is>
          <t>점도 매우 높음 → 다른 오일과 블렌드</t>
        </is>
      </c>
      <c r="V84" s="34" t="inlineStr">
        <is>
          <t>₩5,000/250ml</t>
        </is>
      </c>
      <c r="W84" s="37" t="inlineStr">
        <is>
          <t>★★★★★</t>
        </is>
      </c>
      <c r="X84" s="34" t="inlineStr">
        <is>
          <t>서늘</t>
        </is>
      </c>
      <c r="Y84" s="34" t="inlineStr">
        <is>
          <t>제한 없음</t>
        </is>
      </c>
      <c r="Z84" s="34" t="inlineStr">
        <is>
          <t>—</t>
        </is>
      </c>
      <c r="AA84" s="34" t="inlineStr">
        <is>
          <t>디이소스테아릴말레이트</t>
        </is>
      </c>
      <c r="AB84" s="34" t="inlineStr">
        <is>
          <t>립 광택의 천연 해답</t>
        </is>
      </c>
      <c r="AC84" s="34" t="inlineStr">
        <is>
          <t>피마자 vs MCT 점도 비교(스푼에서 흘러내리는 속도)</t>
        </is>
      </c>
      <c r="AD84" s="34" t="inlineStr">
        <is>
          <t>허브누리</t>
        </is>
      </c>
      <c r="AE84" s="38" t="n"/>
      <c r="AF84" s="39" t="n"/>
      <c r="AG84" s="38" t="n"/>
    </row>
    <row r="85" ht="92" customHeight="1">
      <c r="A85" s="46" t="n">
        <v>81</v>
      </c>
      <c r="B85" s="47" t="inlineStr">
        <is>
          <t>스윗아몬드오일</t>
        </is>
      </c>
      <c r="C85" s="34" t="inlineStr">
        <is>
          <t>Prunus Amygdalus Dulcis Oil</t>
        </is>
      </c>
      <c r="D85" s="37" t="inlineStr">
        <is>
          <t>–</t>
        </is>
      </c>
      <c r="E85" s="48" t="inlineStr">
        <is>
          <t>에몰리언트</t>
        </is>
      </c>
      <c r="F85" s="34" t="inlineStr">
        <is>
          <t>마사지·바디</t>
        </is>
      </c>
      <c r="G85" s="34" t="inlineStr">
        <is>
          <t>식물</t>
        </is>
      </c>
      <c r="H85" s="34" t="inlineStr">
        <is>
          <t>단아몬드 씨</t>
        </is>
      </c>
      <c r="I85" s="34" t="inlineStr">
        <is>
          <t>냉압착 → 정제</t>
        </is>
      </c>
      <c r="J85" s="34" t="inlineStr">
        <is>
          <t>트리글리세라이드(올레·리놀레)</t>
        </is>
      </c>
      <c r="K85" s="34" t="inlineStr">
        <is>
          <t>액상</t>
        </is>
      </c>
      <c r="L85" s="34" t="inlineStr">
        <is>
          <t>연노랑</t>
        </is>
      </c>
      <c r="M85" s="34" t="inlineStr">
        <is>
          <t>거의 무취</t>
        </is>
      </c>
      <c r="N85" s="34" t="inlineStr">
        <is>
          <t>유용성</t>
        </is>
      </c>
      <c r="O85" s="34" t="inlineStr">
        <is>
          <t>B상</t>
        </is>
      </c>
      <c r="P85" s="34" t="inlineStr">
        <is>
          <t>부드럽고 미끄러움</t>
        </is>
      </c>
      <c r="Q85" s="34" t="inlineStr">
        <is>
          <t>좋음</t>
        </is>
      </c>
      <c r="R85" s="34" t="inlineStr">
        <is>
          <t>촉촉</t>
        </is>
      </c>
      <c r="S85" s="34" t="inlineStr">
        <is>
          <t>5~30%</t>
        </is>
      </c>
      <c r="T85" s="34" t="inlineStr">
        <is>
          <t>중간</t>
        </is>
      </c>
      <c r="U85" s="34" t="inlineStr">
        <is>
          <t>★ 견과 알레르기</t>
        </is>
      </c>
      <c r="V85" s="34" t="inlineStr">
        <is>
          <t>₩8,000/250ml</t>
        </is>
      </c>
      <c r="W85" s="37" t="inlineStr">
        <is>
          <t>★★★★★</t>
        </is>
      </c>
      <c r="X85" s="34" t="inlineStr">
        <is>
          <t>서늘·차광</t>
        </is>
      </c>
      <c r="Y85" s="34" t="inlineStr">
        <is>
          <t>제한 없음</t>
        </is>
      </c>
      <c r="Z85" s="34" t="inlineStr">
        <is>
          <t>—</t>
        </is>
      </c>
      <c r="AA85" s="34" t="inlineStr">
        <is>
          <t>살구씨오일·해바라기</t>
        </is>
      </c>
      <c r="AB85" s="34" t="inlineStr">
        <is>
          <t>마사지·바디오일 표준</t>
        </is>
      </c>
      <c r="AC85" s="34" t="inlineStr">
        <is>
          <t>—</t>
        </is>
      </c>
      <c r="AD85" s="34" t="inlineStr">
        <is>
          <t>허브누리</t>
        </is>
      </c>
      <c r="AE85" s="38" t="n"/>
      <c r="AF85" s="39" t="n"/>
      <c r="AG85" s="38" t="n"/>
    </row>
    <row r="86" ht="92" customHeight="1">
      <c r="A86" s="46" t="n">
        <v>82</v>
      </c>
      <c r="B86" s="47" t="inlineStr">
        <is>
          <t>살구씨오일</t>
        </is>
      </c>
      <c r="C86" s="34" t="inlineStr">
        <is>
          <t>Prunus Armeniaca Kernel Oil</t>
        </is>
      </c>
      <c r="D86" s="37" t="inlineStr">
        <is>
          <t>–</t>
        </is>
      </c>
      <c r="E86" s="48" t="inlineStr">
        <is>
          <t>에몰리언트</t>
        </is>
      </c>
      <c r="F86" s="34" t="inlineStr">
        <is>
          <t>가벼운 바디·얼굴</t>
        </is>
      </c>
      <c r="G86" s="34" t="inlineStr">
        <is>
          <t>식물</t>
        </is>
      </c>
      <c r="H86" s="34" t="inlineStr">
        <is>
          <t>살구 씨</t>
        </is>
      </c>
      <c r="I86" s="34" t="inlineStr">
        <is>
          <t>압착 → 정제</t>
        </is>
      </c>
      <c r="J86" s="34" t="inlineStr">
        <is>
          <t>트리글리세라이드(올레·리놀레)</t>
        </is>
      </c>
      <c r="K86" s="34" t="inlineStr">
        <is>
          <t>액상</t>
        </is>
      </c>
      <c r="L86" s="34" t="inlineStr">
        <is>
          <t>연노랑</t>
        </is>
      </c>
      <c r="M86" s="34" t="inlineStr">
        <is>
          <t>거의 무취</t>
        </is>
      </c>
      <c r="N86" s="34" t="inlineStr">
        <is>
          <t>유용성</t>
        </is>
      </c>
      <c r="O86" s="34" t="inlineStr">
        <is>
          <t>B상</t>
        </is>
      </c>
      <c r="P86" s="34" t="inlineStr">
        <is>
          <t>아몬드보다 가볍게</t>
        </is>
      </c>
      <c r="Q86" s="34" t="inlineStr">
        <is>
          <t>좋음</t>
        </is>
      </c>
      <c r="R86" s="34" t="inlineStr">
        <is>
          <t>산뜻</t>
        </is>
      </c>
      <c r="S86" s="34" t="inlineStr">
        <is>
          <t>5~20%</t>
        </is>
      </c>
      <c r="T86" s="34" t="inlineStr">
        <is>
          <t>중간</t>
        </is>
      </c>
      <c r="U86" s="34" t="inlineStr">
        <is>
          <t>견과 알레르기 대체로 언급</t>
        </is>
      </c>
      <c r="V86" s="34" t="inlineStr">
        <is>
          <t>₩8,000/100ml</t>
        </is>
      </c>
      <c r="W86" s="37" t="inlineStr">
        <is>
          <t>★★★★☆</t>
        </is>
      </c>
      <c r="X86" s="34" t="inlineStr">
        <is>
          <t>서늘</t>
        </is>
      </c>
      <c r="Y86" s="34" t="inlineStr">
        <is>
          <t>제한 없음</t>
        </is>
      </c>
      <c r="Z86" s="34" t="inlineStr">
        <is>
          <t>—</t>
        </is>
      </c>
      <c r="AA86" s="34" t="inlineStr">
        <is>
          <t>스윗아몬드</t>
        </is>
      </c>
      <c r="AB86" s="34" t="inlineStr">
        <is>
          <t>얼굴용 가벼운 식물유</t>
        </is>
      </c>
      <c r="AC86" s="34" t="inlineStr">
        <is>
          <t>—</t>
        </is>
      </c>
      <c r="AD86" s="34" t="inlineStr">
        <is>
          <t>허브누리</t>
        </is>
      </c>
      <c r="AE86" s="38" t="n"/>
      <c r="AF86" s="39" t="n"/>
      <c r="AG86" s="38" t="n"/>
    </row>
    <row r="87" ht="92" customHeight="1">
      <c r="A87" s="46" t="n">
        <v>83</v>
      </c>
      <c r="B87" s="47" t="inlineStr">
        <is>
          <t>달맞이종자오일</t>
        </is>
      </c>
      <c r="C87" s="34" t="inlineStr">
        <is>
          <t>Oenothera Biennis Oil</t>
        </is>
      </c>
      <c r="D87" s="37" t="inlineStr">
        <is>
          <t>–</t>
        </is>
      </c>
      <c r="E87" s="48" t="inlineStr">
        <is>
          <t>에몰리언트</t>
        </is>
      </c>
      <c r="F87" s="34" t="inlineStr">
        <is>
          <t>GLA(감마리놀렌산)</t>
        </is>
      </c>
      <c r="G87" s="34" t="inlineStr">
        <is>
          <t>식물</t>
        </is>
      </c>
      <c r="H87" s="34" t="inlineStr">
        <is>
          <t>달맞이꽃 씨</t>
        </is>
      </c>
      <c r="I87" s="34" t="inlineStr">
        <is>
          <t>냉압착 or CO₂</t>
        </is>
      </c>
      <c r="J87" s="34" t="inlineStr">
        <is>
          <t>트리글리세라이드(리놀레·GLA)</t>
        </is>
      </c>
      <c r="K87" s="34" t="inlineStr">
        <is>
          <t>액상</t>
        </is>
      </c>
      <c r="L87" s="34" t="inlineStr">
        <is>
          <t>연노랑</t>
        </is>
      </c>
      <c r="M87" s="34" t="inlineStr">
        <is>
          <t>약한 냄새</t>
        </is>
      </c>
      <c r="N87" s="34" t="inlineStr">
        <is>
          <t>유용성</t>
        </is>
      </c>
      <c r="O87" s="34" t="inlineStr">
        <is>
          <t>냉각상</t>
        </is>
      </c>
      <c r="P87" s="34" t="inlineStr">
        <is>
          <t>가볍고 건성</t>
        </is>
      </c>
      <c r="Q87" s="34" t="inlineStr">
        <is>
          <t>좋음</t>
        </is>
      </c>
      <c r="R87" s="34" t="inlineStr">
        <is>
          <t>산뜻</t>
        </is>
      </c>
      <c r="S87" s="34" t="inlineStr">
        <is>
          <t>1~10%</t>
        </is>
      </c>
      <c r="T87" s="34" t="inlineStr">
        <is>
          <t>★ 산화 빠름</t>
        </is>
      </c>
      <c r="U87" s="34" t="inlineStr">
        <is>
          <t>냉장·토코페롤</t>
        </is>
      </c>
      <c r="V87" s="34" t="inlineStr">
        <is>
          <t>₩15,000/100ml</t>
        </is>
      </c>
      <c r="W87" s="37" t="inlineStr">
        <is>
          <t>★★★☆☆</t>
        </is>
      </c>
      <c r="X87" s="34" t="inlineStr">
        <is>
          <t>냉장·차광</t>
        </is>
      </c>
      <c r="Y87" s="34" t="inlineStr">
        <is>
          <t>제한 없음</t>
        </is>
      </c>
      <c r="Z87" s="34" t="inlineStr">
        <is>
          <t>—</t>
        </is>
      </c>
      <c r="AA87" s="34" t="inlineStr">
        <is>
          <t>로즈힙·보리지</t>
        </is>
      </c>
      <c r="AB87" s="34" t="inlineStr">
        <is>
          <t>건조·장벽 스토리</t>
        </is>
      </c>
      <c r="AC87" s="34" t="inlineStr">
        <is>
          <t>—</t>
        </is>
      </c>
      <c r="AD87" s="34" t="inlineStr">
        <is>
          <t>허브누리</t>
        </is>
      </c>
      <c r="AE87" s="38" t="n"/>
      <c r="AF87" s="39" t="n"/>
      <c r="AG87" s="38" t="n"/>
    </row>
    <row r="88" ht="92" customHeight="1">
      <c r="A88" s="46" t="n">
        <v>84</v>
      </c>
      <c r="B88" s="47" t="inlineStr">
        <is>
          <t>타마누오일</t>
        </is>
      </c>
      <c r="C88" s="34" t="inlineStr">
        <is>
          <t>Calophyllum Inophyllum Seed Oil</t>
        </is>
      </c>
      <c r="D88" s="37" t="inlineStr">
        <is>
          <t>–</t>
        </is>
      </c>
      <c r="E88" s="48" t="inlineStr">
        <is>
          <t>에몰리언트</t>
        </is>
      </c>
      <c r="F88" s="34" t="inlineStr">
        <is>
          <t>트러블 무드·재생 이미지</t>
        </is>
      </c>
      <c r="G88" s="34" t="inlineStr">
        <is>
          <t>식물</t>
        </is>
      </c>
      <c r="H88" s="34" t="inlineStr">
        <is>
          <t>타마누(칼로필룸) 열매 씨</t>
        </is>
      </c>
      <c r="I88" s="34" t="inlineStr">
        <is>
          <t>냉압착(비정제)</t>
        </is>
      </c>
      <c r="J88" s="34" t="inlineStr">
        <is>
          <t>트리글리세라이드 + 칼로필롤</t>
        </is>
      </c>
      <c r="K88" s="34" t="inlineStr">
        <is>
          <t>점성 액</t>
        </is>
      </c>
      <c r="L88" s="34" t="inlineStr">
        <is>
          <t>진녹~갈색</t>
        </is>
      </c>
      <c r="M88" s="34" t="inlineStr">
        <is>
          <t>강한 견과·카레 같은 냄새</t>
        </is>
      </c>
      <c r="N88" s="34" t="inlineStr">
        <is>
          <t>유용성</t>
        </is>
      </c>
      <c r="O88" s="34" t="inlineStr">
        <is>
          <t>냉각상</t>
        </is>
      </c>
      <c r="P88" s="34" t="inlineStr">
        <is>
          <t>무거움</t>
        </is>
      </c>
      <c r="Q88" s="34" t="inlineStr">
        <is>
          <t>중간</t>
        </is>
      </c>
      <c r="R88" s="34" t="inlineStr">
        <is>
          <t>기름막</t>
        </is>
      </c>
      <c r="S88" s="34" t="inlineStr">
        <is>
          <t>1~5%</t>
        </is>
      </c>
      <c r="T88" s="34" t="inlineStr">
        <is>
          <t>중간</t>
        </is>
      </c>
      <c r="U88" s="34" t="inlineStr">
        <is>
          <t>냄새가 강해 1~2%로도 티남. 견과 알레르기</t>
        </is>
      </c>
      <c r="V88" s="34" t="inlineStr">
        <is>
          <t>₩15,000/50ml</t>
        </is>
      </c>
      <c r="W88" s="37" t="inlineStr">
        <is>
          <t>★★★☆☆</t>
        </is>
      </c>
      <c r="X88" s="34" t="inlineStr">
        <is>
          <t>서늘·차광</t>
        </is>
      </c>
      <c r="Y88" s="34" t="inlineStr">
        <is>
          <t>제한 없음</t>
        </is>
      </c>
      <c r="Z88" s="34" t="inlineStr">
        <is>
          <t>—</t>
        </is>
      </c>
      <c r="AA88" s="34" t="inlineStr">
        <is>
          <t>티트리·로즈힙</t>
        </is>
      </c>
      <c r="AB88" s="34" t="inlineStr">
        <is>
          <t>향 강한 '효능 무드' 오일</t>
        </is>
      </c>
      <c r="AC88" s="34" t="inlineStr">
        <is>
          <t>—</t>
        </is>
      </c>
      <c r="AD88" s="34" t="inlineStr">
        <is>
          <t>허브누리</t>
        </is>
      </c>
      <c r="AE88" s="38" t="n"/>
      <c r="AF88" s="39" t="n"/>
      <c r="AG88" s="38" t="n"/>
    </row>
    <row r="89" ht="92" customHeight="1">
      <c r="A89" s="46" t="n">
        <v>85</v>
      </c>
      <c r="B89" s="47" t="inlineStr">
        <is>
          <t>씨벅턴오일(CO₂)</t>
        </is>
      </c>
      <c r="C89" s="34" t="inlineStr">
        <is>
          <t>Hippophae Rhamnoides Fruit Oil</t>
        </is>
      </c>
      <c r="D89" s="37" t="inlineStr">
        <is>
          <t>–</t>
        </is>
      </c>
      <c r="E89" s="48" t="inlineStr">
        <is>
          <t>에몰리언트</t>
        </is>
      </c>
      <c r="F89" s="34" t="inlineStr">
        <is>
          <t>카로티노이드 항산화 무드</t>
        </is>
      </c>
      <c r="G89" s="34" t="inlineStr">
        <is>
          <t>식물</t>
        </is>
      </c>
      <c r="H89" s="34" t="inlineStr">
        <is>
          <t>비타민나무(산자나무) 열매</t>
        </is>
      </c>
      <c r="I89" s="34" t="inlineStr">
        <is>
          <t>초임계 CO₂ 추출</t>
        </is>
      </c>
      <c r="J89" s="34" t="inlineStr">
        <is>
          <t>트리글리세라이드 + 카로티노이드</t>
        </is>
      </c>
      <c r="K89" s="34" t="inlineStr">
        <is>
          <t>점성 액</t>
        </is>
      </c>
      <c r="L89" s="34" t="inlineStr">
        <is>
          <t>진주황</t>
        </is>
      </c>
      <c r="M89" s="34" t="inlineStr">
        <is>
          <t>새콤 과일·기름향</t>
        </is>
      </c>
      <c r="N89" s="34" t="inlineStr">
        <is>
          <t>유용성</t>
        </is>
      </c>
      <c r="O89" s="34" t="inlineStr">
        <is>
          <t>냉각상</t>
        </is>
      </c>
      <c r="P89" s="34" t="inlineStr">
        <is>
          <t>—</t>
        </is>
      </c>
      <c r="Q89" s="34" t="inlineStr">
        <is>
          <t>—</t>
        </is>
      </c>
      <c r="R89" s="34" t="inlineStr">
        <is>
          <t>—</t>
        </is>
      </c>
      <c r="S89" s="34" t="inlineStr">
        <is>
          <t>0.1~1%</t>
        </is>
      </c>
      <c r="T89" s="34" t="inlineStr">
        <is>
          <t>산화 주의</t>
        </is>
      </c>
      <c r="U89" s="34" t="inlineStr">
        <is>
          <t>★ 착색 강함(제품·피부·옷 주황) → 0.5% 이하</t>
        </is>
      </c>
      <c r="V89" s="34" t="inlineStr">
        <is>
          <t>₩20,000/10ml</t>
        </is>
      </c>
      <c r="W89" s="37" t="inlineStr">
        <is>
          <t>★★★☆☆</t>
        </is>
      </c>
      <c r="X89" s="34" t="inlineStr">
        <is>
          <t>냉장·차광</t>
        </is>
      </c>
      <c r="Y89" s="34" t="inlineStr">
        <is>
          <t>제한 없음</t>
        </is>
      </c>
      <c r="Z89" s="34" t="inlineStr">
        <is>
          <t>—</t>
        </is>
      </c>
      <c r="AA89" s="34" t="inlineStr">
        <is>
          <t>로즈힙·당근씨</t>
        </is>
      </c>
      <c r="AB89" s="34" t="inlineStr">
        <is>
          <t>'비타민나무' 스토리. 소량만</t>
        </is>
      </c>
      <c r="AC89" s="34" t="inlineStr">
        <is>
          <t>씨벅턴 0.1% 넣은 크림 색 확인</t>
        </is>
      </c>
      <c r="AD89" s="34" t="inlineStr">
        <is>
          <t>허브누리</t>
        </is>
      </c>
      <c r="AE89" s="38" t="n"/>
      <c r="AF89" s="39" t="n"/>
      <c r="AG89" s="38" t="n"/>
    </row>
    <row r="90" ht="92" customHeight="1">
      <c r="A90" s="46" t="n">
        <v>86</v>
      </c>
      <c r="B90" s="47" t="inlineStr">
        <is>
          <t>카렌듈라 인퓨즈드오일</t>
        </is>
      </c>
      <c r="C90" s="34" t="inlineStr">
        <is>
          <t>Calendula Officinalis Flower Extract (in oil)</t>
        </is>
      </c>
      <c r="D90" s="37" t="inlineStr">
        <is>
          <t>–</t>
        </is>
      </c>
      <c r="E90" s="48" t="inlineStr">
        <is>
          <t>에몰리언트</t>
        </is>
      </c>
      <c r="F90" s="34" t="inlineStr">
        <is>
          <t>진정 무드 오일</t>
        </is>
      </c>
      <c r="G90" s="34" t="inlineStr">
        <is>
          <t>식물</t>
        </is>
      </c>
      <c r="H90" s="34" t="inlineStr">
        <is>
          <t>금잔화 꽃 + 캐리어 오일</t>
        </is>
      </c>
      <c r="I90" s="34" t="inlineStr">
        <is>
          <t>말린 꽃을 오일에 수주 침출(마세레이트) → 여과</t>
        </is>
      </c>
      <c r="J90" s="34" t="inlineStr">
        <is>
          <t>인퓨즈드(침출) 오일</t>
        </is>
      </c>
      <c r="K90" s="34" t="inlineStr">
        <is>
          <t>액상</t>
        </is>
      </c>
      <c r="L90" s="34" t="inlineStr">
        <is>
          <t>황금~주황</t>
        </is>
      </c>
      <c r="M90" s="34" t="inlineStr">
        <is>
          <t>꽃·풀향</t>
        </is>
      </c>
      <c r="N90" s="34" t="inlineStr">
        <is>
          <t>유용성</t>
        </is>
      </c>
      <c r="O90" s="34" t="inlineStr">
        <is>
          <t>B상 or 냉각상</t>
        </is>
      </c>
      <c r="P90" s="34" t="inlineStr">
        <is>
          <t>캐리어 오일 따라</t>
        </is>
      </c>
      <c r="Q90" s="34" t="inlineStr">
        <is>
          <t>—</t>
        </is>
      </c>
      <c r="R90" s="34" t="inlineStr">
        <is>
          <t>—</t>
        </is>
      </c>
      <c r="S90" s="34" t="inlineStr">
        <is>
          <t>5~30%</t>
        </is>
      </c>
      <c r="T90" s="34" t="inlineStr">
        <is>
          <t>캐리어 오일 안정성 따름</t>
        </is>
      </c>
      <c r="U90" s="34" t="inlineStr">
        <is>
          <t>전성분에 '캐리어 오일 + 꽃 추출물' 두 줄. 국화과 알레르기</t>
        </is>
      </c>
      <c r="V90" s="34" t="inlineStr">
        <is>
          <t>₩15,000/100ml</t>
        </is>
      </c>
      <c r="W90" s="37" t="inlineStr">
        <is>
          <t>★★★★☆</t>
        </is>
      </c>
      <c r="X90" s="34" t="inlineStr">
        <is>
          <t>서늘·차광</t>
        </is>
      </c>
      <c r="Y90" s="34" t="inlineStr">
        <is>
          <t>제한 없음</t>
        </is>
      </c>
      <c r="Z90" s="34" t="inlineStr">
        <is>
          <t>인퓨즈드 = 침출 (추출물의 한 형태)</t>
        </is>
      </c>
      <c r="AA90" s="34" t="inlineStr">
        <is>
          <t>캐모마일 인퓨즈·자초 인퓨즈</t>
        </is>
      </c>
      <c r="AB90" s="34" t="inlineStr">
        <is>
          <t>직접 만들 수 있는 첫 추출물(침출) 실습</t>
        </is>
      </c>
      <c r="AC90" s="34" t="inlineStr">
        <is>
          <t>—</t>
        </is>
      </c>
      <c r="AD90" s="34" t="inlineStr">
        <is>
          <t>허브누리</t>
        </is>
      </c>
      <c r="AE90" s="38" t="n"/>
      <c r="AF90" s="39" t="n"/>
      <c r="AG90" s="38" t="n"/>
    </row>
    <row r="91" ht="92" customHeight="1">
      <c r="A91" s="46" t="n">
        <v>87</v>
      </c>
      <c r="B91" s="47" t="inlineStr">
        <is>
          <t>자초 인퓨즈드오일(자운유)</t>
        </is>
      </c>
      <c r="C91" s="34" t="inlineStr">
        <is>
          <t>Lithospermum Erythrorhizon Root Extract (in oil)</t>
        </is>
      </c>
      <c r="D91" s="37" t="inlineStr">
        <is>
          <t>–</t>
        </is>
      </c>
      <c r="E91" s="48" t="inlineStr">
        <is>
          <t>에몰리언트</t>
        </is>
      </c>
      <c r="F91" s="34" t="inlineStr">
        <is>
          <t>한방 진정 무드·보라 착색</t>
        </is>
      </c>
      <c r="G91" s="34" t="inlineStr">
        <is>
          <t>식물</t>
        </is>
      </c>
      <c r="H91" s="34" t="inlineStr">
        <is>
          <t>자초(지치) 뿌리 + 오일</t>
        </is>
      </c>
      <c r="I91" s="34" t="inlineStr">
        <is>
          <t>뿌리를 오일에 가온 침출 → 여과 (자운고 전통)</t>
        </is>
      </c>
      <c r="J91" s="34" t="inlineStr">
        <is>
          <t>인퓨즈드 오일(시코닌)</t>
        </is>
      </c>
      <c r="K91" s="34" t="inlineStr">
        <is>
          <t>액상</t>
        </is>
      </c>
      <c r="L91" s="34" t="inlineStr">
        <is>
          <t>진보라~자주</t>
        </is>
      </c>
      <c r="M91" s="34" t="inlineStr">
        <is>
          <t>한방 냄새</t>
        </is>
      </c>
      <c r="N91" s="34" t="inlineStr">
        <is>
          <t>유용성</t>
        </is>
      </c>
      <c r="O91" s="34" t="inlineStr">
        <is>
          <t>B상</t>
        </is>
      </c>
      <c r="P91" s="34" t="inlineStr">
        <is>
          <t>캐리어 따라</t>
        </is>
      </c>
      <c r="Q91" s="34" t="inlineStr">
        <is>
          <t>—</t>
        </is>
      </c>
      <c r="R91" s="34" t="inlineStr">
        <is>
          <t>—</t>
        </is>
      </c>
      <c r="S91" s="34" t="inlineStr">
        <is>
          <t>5~30%</t>
        </is>
      </c>
      <c r="T91" s="34" t="inlineStr">
        <is>
          <t>pH·금속에 따라 색 변화(시코닌)</t>
        </is>
      </c>
      <c r="U91" s="34" t="inlineStr">
        <is>
          <t>★ 착색 강함(보라→ pH 따라 청/적)</t>
        </is>
      </c>
      <c r="V91" s="34" t="inlineStr">
        <is>
          <t>₩15,000/100ml</t>
        </is>
      </c>
      <c r="W91" s="37" t="inlineStr">
        <is>
          <t>★★★☆☆</t>
        </is>
      </c>
      <c r="X91" s="34" t="inlineStr">
        <is>
          <t>차광</t>
        </is>
      </c>
      <c r="Y91" s="34" t="inlineStr">
        <is>
          <t>제한 없음 (의약품 '자운고'와 혼동 표현 금지)</t>
        </is>
      </c>
      <c r="Z91" s="34" t="inlineStr">
        <is>
          <t>—</t>
        </is>
      </c>
      <c r="AA91" s="34" t="inlineStr">
        <is>
          <t>카렌듈라 인퓨즈</t>
        </is>
      </c>
      <c r="AB91" s="34" t="inlineStr">
        <is>
          <t>K-한방 스토리·색 실험</t>
        </is>
      </c>
      <c r="AC91" s="34" t="inlineStr">
        <is>
          <t>자초오일 한 방울 + 베이킹소다수/구연산수 → 색 변화</t>
        </is>
      </c>
      <c r="AD91" s="34" t="inlineStr">
        <is>
          <t>허브누리</t>
        </is>
      </c>
      <c r="AE91" s="38" t="n"/>
      <c r="AF91" s="39" t="n"/>
      <c r="AG91" s="38" t="n"/>
    </row>
    <row r="92" ht="92" customHeight="1">
      <c r="A92" s="46" t="n">
        <v>88</v>
      </c>
      <c r="B92" s="47" t="inlineStr">
        <is>
          <t>마유(말 기름)</t>
        </is>
      </c>
      <c r="C92" s="34" t="inlineStr">
        <is>
          <t>Horse Fat</t>
        </is>
      </c>
      <c r="D92" s="37" t="inlineStr">
        <is>
          <t>–</t>
        </is>
      </c>
      <c r="E92" s="48" t="inlineStr">
        <is>
          <t>에몰리언트</t>
        </is>
      </c>
      <c r="F92" s="34" t="inlineStr">
        <is>
          <t>보습·피지 유사 이미지</t>
        </is>
      </c>
      <c r="G92" s="34" t="inlineStr">
        <is>
          <t>동물</t>
        </is>
      </c>
      <c r="H92" s="34" t="inlineStr">
        <is>
          <t>말 피하지방</t>
        </is>
      </c>
      <c r="I92" s="34" t="inlineStr">
        <is>
          <t>가열 용출 → 정제 → 탈취</t>
        </is>
      </c>
      <c r="J92" s="34" t="inlineStr">
        <is>
          <t>동물성 지방(올레·팔미트·리놀레)</t>
        </is>
      </c>
      <c r="K92" s="34" t="inlineStr">
        <is>
          <t>반고체/액</t>
        </is>
      </c>
      <c r="L92" s="34" t="inlineStr">
        <is>
          <t>백색~연황</t>
        </is>
      </c>
      <c r="M92" s="34" t="inlineStr">
        <is>
          <t>정제 무취(미정제 특유취)</t>
        </is>
      </c>
      <c r="N92" s="34" t="inlineStr">
        <is>
          <t>유용성</t>
        </is>
      </c>
      <c r="O92" s="34" t="inlineStr">
        <is>
          <t>B상</t>
        </is>
      </c>
      <c r="P92" s="34" t="inlineStr">
        <is>
          <t>부드럽고 빨리 스며듦</t>
        </is>
      </c>
      <c r="Q92" s="34" t="inlineStr">
        <is>
          <t>좋음</t>
        </is>
      </c>
      <c r="R92" s="34" t="inlineStr">
        <is>
          <t>촉촉</t>
        </is>
      </c>
      <c r="S92" s="34" t="inlineStr">
        <is>
          <t>5~30%</t>
        </is>
      </c>
      <c r="T92" s="34" t="inlineStr">
        <is>
          <t>산화 주의</t>
        </is>
      </c>
      <c r="U92" s="34" t="inlineStr">
        <is>
          <t>★ 동물 유래 → 비건 X, 일부 수출국 동물성 원료 서류 필요</t>
        </is>
      </c>
      <c r="V92" s="34" t="inlineStr">
        <is>
          <t>₩15,000/100g</t>
        </is>
      </c>
      <c r="W92" s="37" t="inlineStr">
        <is>
          <t>★★★☆☆</t>
        </is>
      </c>
      <c r="X92" s="34" t="inlineStr">
        <is>
          <t>냉장</t>
        </is>
      </c>
      <c r="Y92" s="34" t="inlineStr">
        <is>
          <t>제한 없음</t>
        </is>
      </c>
      <c r="Z92" s="34" t="inlineStr">
        <is>
          <t>—</t>
        </is>
      </c>
      <c r="AA92" s="34" t="inlineStr">
        <is>
          <t>시어버터·스쿠알란</t>
        </is>
      </c>
      <c r="AB92" s="34" t="inlineStr">
        <is>
          <t>K-뷰티 히트 원료. 비건 포지션과 충돌</t>
        </is>
      </c>
      <c r="AC92" s="34" t="inlineStr">
        <is>
          <t>—</t>
        </is>
      </c>
      <c r="AD92" s="34" t="inlineStr">
        <is>
          <t>허브누리</t>
        </is>
      </c>
      <c r="AE92" s="38" t="n"/>
      <c r="AF92" s="39" t="n"/>
      <c r="AG92" s="38" t="n"/>
    </row>
    <row r="93" ht="92" customHeight="1">
      <c r="A93" s="46" t="n">
        <v>89</v>
      </c>
      <c r="B93" s="47" t="inlineStr">
        <is>
          <t>식물성 바세린(에코바세린)</t>
        </is>
      </c>
      <c r="C93" s="34" t="inlineStr">
        <is>
          <t>(예) Ricinus Communis Seed Oil, Hydrogenated Castor Oil, Candelilla Wax 등 블렌드</t>
        </is>
      </c>
      <c r="D93" s="37" t="inlineStr">
        <is>
          <t>–</t>
        </is>
      </c>
      <c r="E93" s="48" t="inlineStr">
        <is>
          <t>에몰리언트</t>
        </is>
      </c>
      <c r="F93" s="34" t="inlineStr">
        <is>
          <t>페트롤라툼 대체 차폐</t>
        </is>
      </c>
      <c r="G93" s="34" t="inlineStr">
        <is>
          <t>식물</t>
        </is>
      </c>
      <c r="H93" s="34" t="inlineStr">
        <is>
          <t>식물 오일 + 식물 왁스</t>
        </is>
      </c>
      <c r="I93" s="34" t="inlineStr">
        <is>
          <t>블렌딩·수소화</t>
        </is>
      </c>
      <c r="J93" s="34" t="inlineStr">
        <is>
          <t>식물 오일·왁스 블렌드</t>
        </is>
      </c>
      <c r="K93" s="34" t="inlineStr">
        <is>
          <t>반고체</t>
        </is>
      </c>
      <c r="L93" s="34" t="inlineStr">
        <is>
          <t>미황</t>
        </is>
      </c>
      <c r="M93" s="34" t="inlineStr">
        <is>
          <t>약한 냄새</t>
        </is>
      </c>
      <c r="N93" s="34" t="inlineStr">
        <is>
          <t>유용성</t>
        </is>
      </c>
      <c r="O93" s="34" t="inlineStr">
        <is>
          <t>B상</t>
        </is>
      </c>
      <c r="P93" s="34" t="inlineStr">
        <is>
          <t>끈적·차폐</t>
        </is>
      </c>
      <c r="Q93" s="34" t="inlineStr">
        <is>
          <t>뻑뻑</t>
        </is>
      </c>
      <c r="R93" s="34" t="inlineStr">
        <is>
          <t>보호막</t>
        </is>
      </c>
      <c r="S93" s="34" t="inlineStr">
        <is>
          <t>5~100%</t>
        </is>
      </c>
      <c r="T93" s="34" t="inlineStr">
        <is>
          <t>보통</t>
        </is>
      </c>
      <c r="U93" s="34" t="inlineStr">
        <is>
          <t>★ 제품마다 성분 다름 → 전성분 확인</t>
        </is>
      </c>
      <c r="V93" s="34" t="inlineStr">
        <is>
          <t>₩10,000/100g</t>
        </is>
      </c>
      <c r="W93" s="37" t="inlineStr">
        <is>
          <t>★★★☆☆</t>
        </is>
      </c>
      <c r="X93" s="34" t="inlineStr">
        <is>
          <t>서늘</t>
        </is>
      </c>
      <c r="Y93" s="34" t="inlineStr">
        <is>
          <t>제한 없음</t>
        </is>
      </c>
      <c r="Z93" s="34" t="inlineStr">
        <is>
          <t>—</t>
        </is>
      </c>
      <c r="AA93" s="34" t="inlineStr">
        <is>
          <t>미네랄오일/페트롤라툼·시어버터</t>
        </is>
      </c>
      <c r="AB93" s="34" t="inlineStr">
        <is>
          <t>'석유 프리' 차폐. 차폐력은 바셀린보다 약함</t>
        </is>
      </c>
      <c r="AC93" s="34" t="inlineStr">
        <is>
          <t>바셀린 vs 식물성 바세린 물방울 튕김 비교</t>
        </is>
      </c>
      <c r="AD93" s="34" t="inlineStr">
        <is>
          <t>허브누리</t>
        </is>
      </c>
      <c r="AE93" s="38" t="n"/>
      <c r="AF93" s="39" t="n"/>
      <c r="AG93" s="38" t="n"/>
    </row>
    <row r="94" ht="92" customHeight="1">
      <c r="A94" s="46" t="n">
        <v>90</v>
      </c>
      <c r="B94" s="47" t="inlineStr">
        <is>
          <t>워터 호호바</t>
        </is>
      </c>
      <c r="C94" s="34" t="inlineStr">
        <is>
          <t>(예) Water, Simmondsia Chinensis Seed Oil, Lecithin, Glycerin … — TDS 확인</t>
        </is>
      </c>
      <c r="D94" s="37" t="inlineStr">
        <is>
          <t>–</t>
        </is>
      </c>
      <c r="E94" s="48" t="inlineStr">
        <is>
          <t>에몰리언트</t>
        </is>
      </c>
      <c r="F94" s="34" t="inlineStr">
        <is>
          <t>수상에 넣는 오일 감촉(리포좀)</t>
        </is>
      </c>
      <c r="G94" s="34" t="inlineStr">
        <is>
          <t>식물+합성</t>
        </is>
      </c>
      <c r="H94" s="34" t="inlineStr">
        <is>
          <t>호호바오일 + 레시틴(리포좀 막)</t>
        </is>
      </c>
      <c r="I94" s="34" t="inlineStr">
        <is>
          <t>오일을 레시틴 이중막에 가둬 미세 분산(고압 균질) → 물에 섞이는 '수용화 오일'</t>
        </is>
      </c>
      <c r="J94" s="34" t="inlineStr">
        <is>
          <t>리포좀 분산액</t>
        </is>
      </c>
      <c r="K94" s="34" t="inlineStr">
        <is>
          <t>유백 액상</t>
        </is>
      </c>
      <c r="L94" s="34" t="inlineStr">
        <is>
          <t>유백</t>
        </is>
      </c>
      <c r="M94" s="34" t="inlineStr">
        <is>
          <t>거의 무취</t>
        </is>
      </c>
      <c r="N94" s="34" t="inlineStr">
        <is>
          <t>수분산(물에 섞임)</t>
        </is>
      </c>
      <c r="O94" s="34" t="inlineStr">
        <is>
          <t>냉각상</t>
        </is>
      </c>
      <c r="P94" s="34" t="inlineStr">
        <is>
          <t>가볍고 촉촉, 기름짐 없음</t>
        </is>
      </c>
      <c r="Q94" s="34" t="inlineStr">
        <is>
          <t>매우 잘 퍼짐</t>
        </is>
      </c>
      <c r="R94" s="34" t="inlineStr">
        <is>
          <t>살짝 매끈</t>
        </is>
      </c>
      <c r="S94" s="34" t="inlineStr">
        <is>
          <t>2~10%</t>
        </is>
      </c>
      <c r="T94" s="34" t="inlineStr">
        <is>
          <t>pH 5~7. 고온·알코올·강한 계면활성제에 리포좀 깨짐</t>
        </is>
      </c>
      <c r="U94" s="34" t="inlineStr">
        <is>
          <t>★ 토너·미스트처럼 유화제 없는 수상 제형에 '오일 느낌'을 넣을 때. 실제 오일 함량은 낮음</t>
        </is>
      </c>
      <c r="V94" s="34" t="inlineStr">
        <is>
          <t>₩12,000/100ml</t>
        </is>
      </c>
      <c r="W94" s="37" t="inlineStr">
        <is>
          <t>★★★★☆</t>
        </is>
      </c>
      <c r="X94" s="34" t="inlineStr">
        <is>
          <t>냉장</t>
        </is>
      </c>
      <c r="Y94" s="34" t="inlineStr">
        <is>
          <t>제한 없음</t>
        </is>
      </c>
      <c r="Z94" s="34" t="inlineStr">
        <is>
          <t>—</t>
        </is>
      </c>
      <c r="AA94" s="34" t="inlineStr">
        <is>
          <t>호호바오일+가용화제·워터 아르간</t>
        </is>
      </c>
      <c r="AB94" s="34" t="inlineStr">
        <is>
          <t>유화 없이 투명~유백 토너에 오일감 → 워터 호호바. 크림엔 그냥 호호바오일이 싸고 확실</t>
        </is>
      </c>
      <c r="AC94" s="34" t="inlineStr">
        <is>
          <t>정제수 95+워터 호호바 5 vs 정제수 95+호호바오일 5(분리!) — 흔들어 비교</t>
        </is>
      </c>
      <c r="AD94" s="34" t="inlineStr">
        <is>
          <t>허브누리</t>
        </is>
      </c>
      <c r="AE94" s="38" t="n"/>
      <c r="AF94" s="39" t="n"/>
      <c r="AG94" s="38" t="n"/>
    </row>
    <row r="95" ht="92" customHeight="1">
      <c r="A95" s="46" t="n">
        <v>91</v>
      </c>
      <c r="B95" s="47" t="inlineStr">
        <is>
          <t>워터 아르간</t>
        </is>
      </c>
      <c r="C95" s="34" t="inlineStr">
        <is>
          <t>(예) Water, Argania Spinosa Kernel Oil, Lecithin … — TDS 확인</t>
        </is>
      </c>
      <c r="D95" s="37" t="inlineStr">
        <is>
          <t>–</t>
        </is>
      </c>
      <c r="E95" s="48" t="inlineStr">
        <is>
          <t>에몰리언트</t>
        </is>
      </c>
      <c r="F95" s="34" t="inlineStr">
        <is>
          <t>수상에 넣는 영양 오일 감촉(리포좀)</t>
        </is>
      </c>
      <c r="G95" s="34" t="inlineStr">
        <is>
          <t>식물+합성</t>
        </is>
      </c>
      <c r="H95" s="34" t="inlineStr">
        <is>
          <t>아르간오일 + 레시틴</t>
        </is>
      </c>
      <c r="I95" s="34" t="inlineStr">
        <is>
          <t>리포좀화 → 수분산</t>
        </is>
      </c>
      <c r="J95" s="34" t="inlineStr">
        <is>
          <t>리포좀 분산액</t>
        </is>
      </c>
      <c r="K95" s="34" t="inlineStr">
        <is>
          <t>유백 액상</t>
        </is>
      </c>
      <c r="L95" s="34" t="inlineStr">
        <is>
          <t>유백</t>
        </is>
      </c>
      <c r="M95" s="34" t="inlineStr">
        <is>
          <t>약한 견과취</t>
        </is>
      </c>
      <c r="N95" s="34" t="inlineStr">
        <is>
          <t>수분산</t>
        </is>
      </c>
      <c r="O95" s="34" t="inlineStr">
        <is>
          <t>냉각상</t>
        </is>
      </c>
      <c r="P95" s="34" t="inlineStr">
        <is>
          <t>촉촉·약간 리치</t>
        </is>
      </c>
      <c r="Q95" s="34" t="inlineStr">
        <is>
          <t>잘 퍼짐</t>
        </is>
      </c>
      <c r="R95" s="34" t="inlineStr">
        <is>
          <t>촉촉</t>
        </is>
      </c>
      <c r="S95" s="34" t="inlineStr">
        <is>
          <t>3~5%</t>
        </is>
      </c>
      <c r="T95" s="34" t="inlineStr">
        <is>
          <t>워터 호호바와 같음(열·알코올에 약함)</t>
        </is>
      </c>
      <c r="U95" s="34" t="inlineStr">
        <is>
          <t>에센스·미스트에 '아르간' 스토리. 오일 실함량 확인</t>
        </is>
      </c>
      <c r="V95" s="34" t="inlineStr">
        <is>
          <t>₩15,000/100ml</t>
        </is>
      </c>
      <c r="W95" s="37" t="inlineStr">
        <is>
          <t>★★★☆☆</t>
        </is>
      </c>
      <c r="X95" s="34" t="inlineStr">
        <is>
          <t>냉장</t>
        </is>
      </c>
      <c r="Y95" s="34" t="inlineStr">
        <is>
          <t>제한 없음</t>
        </is>
      </c>
      <c r="Z95" s="34" t="inlineStr">
        <is>
          <t>—</t>
        </is>
      </c>
      <c r="AA95" s="34" t="inlineStr">
        <is>
          <t>워터 호호바·아르간오일</t>
        </is>
      </c>
      <c r="AB95" s="34" t="inlineStr">
        <is>
          <t>호호바보다 리치·스토리↑, 가격↑</t>
        </is>
      </c>
      <c r="AC95" s="34" t="inlineStr">
        <is>
          <t>워터 호호바 vs 워터 아르간 손등 — 마른 뒤 촉촉함 차이</t>
        </is>
      </c>
      <c r="AD95" s="34" t="inlineStr">
        <is>
          <t>허브누리</t>
        </is>
      </c>
      <c r="AE95" s="38" t="n"/>
      <c r="AF95" s="39" t="n"/>
      <c r="AG95" s="38" t="n"/>
    </row>
    <row r="96" ht="92" customHeight="1">
      <c r="A96" s="49" t="n">
        <v>92</v>
      </c>
      <c r="B96" s="50" t="inlineStr">
        <is>
          <t>칸데릴라왁스</t>
        </is>
      </c>
      <c r="C96" s="34" t="inlineStr">
        <is>
          <t>Euphorbia Cerifera (Candelilla) Wax</t>
        </is>
      </c>
      <c r="D96" s="37" t="inlineStr">
        <is>
          <t>–</t>
        </is>
      </c>
      <c r="E96" s="51" t="inlineStr">
        <is>
          <t>경화</t>
        </is>
      </c>
      <c r="F96" s="34" t="inlineStr">
        <is>
          <t>경화(밤·립)·광택</t>
        </is>
      </c>
      <c r="G96" s="34" t="inlineStr">
        <is>
          <t>식물</t>
        </is>
      </c>
      <c r="H96" s="34" t="inlineStr">
        <is>
          <t>칸데릴라 관목 줄기(멕시코)</t>
        </is>
      </c>
      <c r="I96" s="34" t="inlineStr">
        <is>
          <t>줄기 끓여 왁스 분리 → 황산 정제</t>
        </is>
      </c>
      <c r="J96" s="34" t="inlineStr">
        <is>
          <t>식물성 왁스(탄화수소·에스터)</t>
        </is>
      </c>
      <c r="K96" s="34" t="inlineStr">
        <is>
          <t>알갱이</t>
        </is>
      </c>
      <c r="L96" s="34" t="inlineStr">
        <is>
          <t>연노랑~갈색</t>
        </is>
      </c>
      <c r="M96" s="34" t="inlineStr">
        <is>
          <t>약한 왁스취</t>
        </is>
      </c>
      <c r="N96" s="34" t="inlineStr">
        <is>
          <t>유용성(녹는점 68~73℃)</t>
        </is>
      </c>
      <c r="O96" s="34" t="inlineStr">
        <is>
          <t>B상 고온</t>
        </is>
      </c>
      <c r="P96" s="34" t="inlineStr">
        <is>
          <t>단단·광택 막</t>
        </is>
      </c>
      <c r="Q96" s="34" t="inlineStr">
        <is>
          <t>뻑뻑</t>
        </is>
      </c>
      <c r="R96" s="34" t="inlineStr">
        <is>
          <t>광택 막</t>
        </is>
      </c>
      <c r="S96" s="34" t="inlineStr">
        <is>
          <t>밤 5~15%</t>
        </is>
      </c>
      <c r="T96" s="34" t="inlineStr">
        <is>
          <t>안정</t>
        </is>
      </c>
      <c r="U96" s="34" t="inlineStr">
        <is>
          <t>비즈왁스의 약 1/2 양으로 같은 경도(더 단단)</t>
        </is>
      </c>
      <c r="V96" s="34" t="inlineStr">
        <is>
          <t>₩10,000/100g</t>
        </is>
      </c>
      <c r="W96" s="37" t="inlineStr">
        <is>
          <t>★★★★☆</t>
        </is>
      </c>
      <c r="X96" s="34" t="inlineStr">
        <is>
          <t>서늘</t>
        </is>
      </c>
      <c r="Y96" s="34" t="inlineStr">
        <is>
          <t>제한 없음</t>
        </is>
      </c>
      <c r="Z96" s="34" t="inlineStr">
        <is>
          <t>왁스 = 지방산+장쇄알코올 에스터</t>
        </is>
      </c>
      <c r="AA96" s="34" t="inlineStr">
        <is>
          <t>비즈왁스·카나우바왁스</t>
        </is>
      </c>
      <c r="AB96" s="34" t="inlineStr">
        <is>
          <t>비건 밤·립. 비즈왁스보다 단단·덜 끈적</t>
        </is>
      </c>
      <c r="AC96" s="34" t="inlineStr">
        <is>
          <t>오일 80+칸데릴라 10 vs 20 → 굳기 비교</t>
        </is>
      </c>
      <c r="AD96" s="34" t="inlineStr">
        <is>
          <t>기본</t>
        </is>
      </c>
      <c r="AE96" s="38" t="n"/>
      <c r="AF96" s="39" t="n"/>
      <c r="AG96" s="38" t="n"/>
    </row>
    <row r="97" ht="92" customHeight="1">
      <c r="A97" s="49" t="n">
        <v>93</v>
      </c>
      <c r="B97" s="50" t="inlineStr">
        <is>
          <t>밀랍(비즈왁스)</t>
        </is>
      </c>
      <c r="C97" s="34" t="inlineStr">
        <is>
          <t>Cera Alba (Beeswax)</t>
        </is>
      </c>
      <c r="D97" s="37" t="inlineStr">
        <is>
          <t>–</t>
        </is>
      </c>
      <c r="E97" s="51" t="inlineStr">
        <is>
          <t>경화</t>
        </is>
      </c>
      <c r="F97" s="34" t="inlineStr">
        <is>
          <t>경화·보호막(밤·립)</t>
        </is>
      </c>
      <c r="G97" s="34" t="inlineStr">
        <is>
          <t>동물</t>
        </is>
      </c>
      <c r="H97" s="34" t="inlineStr">
        <is>
          <t>벌집</t>
        </is>
      </c>
      <c r="I97" s="34" t="inlineStr">
        <is>
          <t>녹여 걸러 정제(황랍) → 표백(백랍)</t>
        </is>
      </c>
      <c r="J97" s="34" t="inlineStr">
        <is>
          <t>천연 왁스(에스터·탄화수소)</t>
        </is>
      </c>
      <c r="K97" s="34" t="inlineStr">
        <is>
          <t>알갱이</t>
        </is>
      </c>
      <c r="L97" s="34" t="inlineStr">
        <is>
          <t>황랍 노랑 / 백랍 백색</t>
        </is>
      </c>
      <c r="M97" s="34" t="inlineStr">
        <is>
          <t>꿀향(황랍)</t>
        </is>
      </c>
      <c r="N97" s="34" t="inlineStr">
        <is>
          <t>유용성(녹는점 62~64℃)</t>
        </is>
      </c>
      <c r="O97" s="34" t="inlineStr">
        <is>
          <t>B상 고온</t>
        </is>
      </c>
      <c r="P97" s="34" t="inlineStr">
        <is>
          <t>끈적한 보호막</t>
        </is>
      </c>
      <c r="Q97" s="34" t="inlineStr">
        <is>
          <t>뻑뻑</t>
        </is>
      </c>
      <c r="R97" s="34" t="inlineStr">
        <is>
          <t>보호막</t>
        </is>
      </c>
      <c r="S97" s="34" t="inlineStr">
        <is>
          <t>밤 10~25%</t>
        </is>
      </c>
      <c r="T97" s="34" t="inlineStr">
        <is>
          <t>안정</t>
        </is>
      </c>
      <c r="U97" s="34" t="inlineStr">
        <is>
          <t>★ 동물(벌) 유래 → 비건 X. 칸데릴라는 약 1/2 양으로 대체</t>
        </is>
      </c>
      <c r="V97" s="34" t="inlineStr">
        <is>
          <t>₩8,000/100g</t>
        </is>
      </c>
      <c r="W97" s="37" t="inlineStr">
        <is>
          <t>★★★★★</t>
        </is>
      </c>
      <c r="X97" s="34" t="inlineStr">
        <is>
          <t>서늘</t>
        </is>
      </c>
      <c r="Y97" s="34" t="inlineStr">
        <is>
          <t>제한 없음</t>
        </is>
      </c>
      <c r="Z97" s="34" t="inlineStr">
        <is>
          <t>—</t>
        </is>
      </c>
      <c r="AA97" s="34" t="inlineStr">
        <is>
          <t>칸데릴라왁스·카나우바왁스</t>
        </is>
      </c>
      <c r="AB97" s="34" t="inlineStr">
        <is>
          <t>밤의 고전 경화제. 촉감은 칸데릴라보다 부드럽고 끈적</t>
        </is>
      </c>
      <c r="AC97" s="34" t="inlineStr">
        <is>
          <t>—</t>
        </is>
      </c>
      <c r="AD97" s="34" t="inlineStr">
        <is>
          <t>허브누리</t>
        </is>
      </c>
      <c r="AE97" s="38" t="n"/>
      <c r="AF97" s="39" t="n"/>
      <c r="AG97" s="38" t="n"/>
    </row>
    <row r="98" ht="92" customHeight="1">
      <c r="A98" s="52" t="n">
        <v>94</v>
      </c>
      <c r="B98" s="53" t="inlineStr">
        <is>
          <t>디메치콘</t>
        </is>
      </c>
      <c r="C98" s="34" t="inlineStr">
        <is>
          <t>Dimethicone</t>
        </is>
      </c>
      <c r="D98" s="35" t="inlineStr">
        <is>
          <t>✓</t>
        </is>
      </c>
      <c r="E98" s="54" t="inlineStr">
        <is>
          <t>감촉·실리콘</t>
        </is>
      </c>
      <c r="F98" s="34" t="inlineStr">
        <is>
          <t>소핑 감소·끈적임 마스킹·보호막</t>
        </is>
      </c>
      <c r="G98" s="34" t="inlineStr">
        <is>
          <t>합성</t>
        </is>
      </c>
      <c r="H98" s="34" t="inlineStr">
        <is>
          <t>규사(모래)→규소</t>
        </is>
      </c>
      <c r="I98" s="34" t="inlineStr">
        <is>
          <t>규소 + 메틸클로라이드 → 실란 → 가수분해·중합 (점도 cSt 다양)</t>
        </is>
      </c>
      <c r="J98" s="34" t="inlineStr">
        <is>
          <t>폴리디메틸실록산</t>
        </is>
      </c>
      <c r="K98" s="34" t="inlineStr">
        <is>
          <t>액상(5~1000 cSt)</t>
        </is>
      </c>
      <c r="L98" s="34" t="inlineStr">
        <is>
          <t>무색 투명</t>
        </is>
      </c>
      <c r="M98" s="34" t="inlineStr">
        <is>
          <t>무취</t>
        </is>
      </c>
      <c r="N98" s="34" t="inlineStr">
        <is>
          <t>유용성(오일과도 일부 비상용)</t>
        </is>
      </c>
      <c r="O98" s="34" t="inlineStr">
        <is>
          <t>B상 or 냉각상</t>
        </is>
      </c>
      <c r="P98" s="34" t="inlineStr">
        <is>
          <t>미끄럽고 보송, '실키' 슬립</t>
        </is>
      </c>
      <c r="Q98" s="34" t="inlineStr">
        <is>
          <t>최상</t>
        </is>
      </c>
      <c r="R98" s="34" t="inlineStr">
        <is>
          <t>보송·매끈 막</t>
        </is>
      </c>
      <c r="S98" s="34" t="inlineStr">
        <is>
          <t>1~3% (프라이머 고%)</t>
        </is>
      </c>
      <c r="T98" s="34" t="inlineStr">
        <is>
          <t>매우 안정</t>
        </is>
      </c>
      <c r="U98" s="34" t="inlineStr">
        <is>
          <t>크림 하얘짐(소핑)↓, 끈적한 글리세린 마스킹. 점도 낮을수록 가벼움</t>
        </is>
      </c>
      <c r="V98" s="34" t="inlineStr">
        <is>
          <t>₩10,000~20,000/250g</t>
        </is>
      </c>
      <c r="W98" s="37" t="inlineStr">
        <is>
          <t>★★★★☆</t>
        </is>
      </c>
      <c r="X98" s="34" t="inlineStr">
        <is>
          <t>서늘</t>
        </is>
      </c>
      <c r="Y98" s="34" t="inlineStr">
        <is>
          <t>제한 없음(국내)</t>
        </is>
      </c>
      <c r="Z98" s="34" t="inlineStr">
        <is>
          <t>실리콘 계열 감촉 개선제</t>
        </is>
      </c>
      <c r="AA98" s="34" t="inlineStr">
        <is>
          <t>코코카프릴레이트·D5·디메치콘크로스폴리머</t>
        </is>
      </c>
      <c r="AB98" s="34" t="inlineStr">
        <is>
          <t>적은 %로 감촉을 '고급'으로. 실리콘프리 포지션이면 에스터 대체</t>
        </is>
      </c>
      <c r="AC98" s="34" t="inlineStr">
        <is>
          <t>같은 크림 디메치콘 0% vs 2% 손등 문지름 — 미끄러짐·하얘짐</t>
        </is>
      </c>
      <c r="AD98" s="34" t="inlineStr">
        <is>
          <t>기본</t>
        </is>
      </c>
      <c r="AE98" s="38" t="n"/>
      <c r="AF98" s="39" t="n"/>
      <c r="AG98" s="38" t="n"/>
    </row>
    <row r="99" ht="92" customHeight="1">
      <c r="A99" s="52" t="n">
        <v>95</v>
      </c>
      <c r="B99" s="53" t="inlineStr">
        <is>
          <t>사이클로펜타실록산(D5)</t>
        </is>
      </c>
      <c r="C99" s="34" t="inlineStr">
        <is>
          <t>Cyclopentasiloxane</t>
        </is>
      </c>
      <c r="D99" s="37" t="inlineStr">
        <is>
          <t>–</t>
        </is>
      </c>
      <c r="E99" s="54" t="inlineStr">
        <is>
          <t>감촉·실리콘</t>
        </is>
      </c>
      <c r="F99" s="34" t="inlineStr">
        <is>
          <t>휘발 캐리어·드라이 피니시</t>
        </is>
      </c>
      <c r="G99" s="34" t="inlineStr">
        <is>
          <t>합성</t>
        </is>
      </c>
      <c r="H99" s="34" t="inlineStr">
        <is>
          <t>규소</t>
        </is>
      </c>
      <c r="I99" s="34" t="inlineStr">
        <is>
          <t>고리형 실록산 증류</t>
        </is>
      </c>
      <c r="J99" s="34" t="inlineStr">
        <is>
          <t>고리형 실리콘(휘발성)</t>
        </is>
      </c>
      <c r="K99" s="34" t="inlineStr">
        <is>
          <t>액상</t>
        </is>
      </c>
      <c r="L99" s="34" t="inlineStr">
        <is>
          <t>무색</t>
        </is>
      </c>
      <c r="M99" s="34" t="inlineStr">
        <is>
          <t>무취</t>
        </is>
      </c>
      <c r="N99" s="34" t="inlineStr">
        <is>
          <t>유용성</t>
        </is>
      </c>
      <c r="O99" s="34" t="inlineStr">
        <is>
          <t>냉각상(휘발)</t>
        </is>
      </c>
      <c r="P99" s="34" t="inlineStr">
        <is>
          <t>바를 땐 미끄럽고 날아가 보송</t>
        </is>
      </c>
      <c r="Q99" s="34" t="inlineStr">
        <is>
          <t>최상</t>
        </is>
      </c>
      <c r="R99" s="34" t="inlineStr">
        <is>
          <t>거의 안 남음</t>
        </is>
      </c>
      <c r="S99" s="34" t="inlineStr">
        <is>
          <t>5~30%</t>
        </is>
      </c>
      <c r="T99" s="34" t="inlineStr">
        <is>
          <t>안정</t>
        </is>
      </c>
      <c r="U99" s="34" t="inlineStr">
        <is>
          <t>★ EU: 씻어내는 제품 0.1% 미만(2020), 바르는 제품도 2026.6부터 0.1% 제한 → 수출 처방엔 쓰지 않기</t>
        </is>
      </c>
      <c r="V99" s="34" t="inlineStr">
        <is>
          <t>₩15,000/100g</t>
        </is>
      </c>
      <c r="W99" s="37" t="inlineStr">
        <is>
          <t>★★☆☆☆</t>
        </is>
      </c>
      <c r="X99" s="34" t="inlineStr">
        <is>
          <t>밀봉(휘발)</t>
        </is>
      </c>
      <c r="Y99" s="34" t="inlineStr">
        <is>
          <t>국내 제한 없음 / EU REACH 제한</t>
        </is>
      </c>
      <c r="Z99" s="34" t="inlineStr">
        <is>
          <t>—</t>
        </is>
      </c>
      <c r="AA99" s="34" t="inlineStr">
        <is>
          <t>디카프릴릴카보네이트·이소노닐이소노나노에이트</t>
        </is>
      </c>
      <c r="AB99" s="34" t="inlineStr">
        <is>
          <t>수출 고려하면 대체 에스터로</t>
        </is>
      </c>
      <c r="AC99" s="34" t="inlineStr">
        <is>
          <t>—(수출 규제 사례로 기억)</t>
        </is>
      </c>
      <c r="AD99" s="34" t="inlineStr">
        <is>
          <t>기본</t>
        </is>
      </c>
      <c r="AE99" s="38" t="n"/>
      <c r="AF99" s="39" t="n"/>
      <c r="AG99" s="38" t="n"/>
    </row>
    <row r="100" ht="92" customHeight="1">
      <c r="A100" s="52" t="n">
        <v>96</v>
      </c>
      <c r="B100" s="53" t="inlineStr">
        <is>
          <t>디메치콘크로스폴리머</t>
        </is>
      </c>
      <c r="C100" s="34" t="inlineStr">
        <is>
          <t>Dimethicone Crosspolymer (in Dimethicone)</t>
        </is>
      </c>
      <c r="D100" s="37" t="inlineStr">
        <is>
          <t>–</t>
        </is>
      </c>
      <c r="E100" s="54" t="inlineStr">
        <is>
          <t>감촉·실리콘</t>
        </is>
      </c>
      <c r="F100" s="34" t="inlineStr">
        <is>
          <t>모공 블러·파우더리</t>
        </is>
      </c>
      <c r="G100" s="34" t="inlineStr">
        <is>
          <t>합성</t>
        </is>
      </c>
      <c r="H100" s="34" t="inlineStr">
        <is>
          <t>실리콘</t>
        </is>
      </c>
      <c r="I100" s="34" t="inlineStr">
        <is>
          <t>가교 실리콘을 디메치콘에 팽윤시킨 젤(엘라스토머)</t>
        </is>
      </c>
      <c r="J100" s="34" t="inlineStr">
        <is>
          <t>실리콘 엘라스토머</t>
        </is>
      </c>
      <c r="K100" s="34" t="inlineStr">
        <is>
          <t>투명 젤</t>
        </is>
      </c>
      <c r="L100" s="34" t="inlineStr">
        <is>
          <t>무색</t>
        </is>
      </c>
      <c r="M100" s="34" t="inlineStr">
        <is>
          <t>무취</t>
        </is>
      </c>
      <c r="N100" s="34" t="inlineStr">
        <is>
          <t>유용성</t>
        </is>
      </c>
      <c r="O100" s="34" t="inlineStr">
        <is>
          <t>냉각상</t>
        </is>
      </c>
      <c r="P100" s="34" t="inlineStr">
        <is>
          <t>벨벳·파우더리</t>
        </is>
      </c>
      <c r="Q100" s="34" t="inlineStr">
        <is>
          <t>좋음</t>
        </is>
      </c>
      <c r="R100" s="34" t="inlineStr">
        <is>
          <t>보송·소프트포커스</t>
        </is>
      </c>
      <c r="S100" s="34" t="inlineStr">
        <is>
          <t>1~10%</t>
        </is>
      </c>
      <c r="T100" s="34" t="inlineStr">
        <is>
          <t>안정</t>
        </is>
      </c>
      <c r="U100" s="34" t="inlineStr">
        <is>
          <t>프라이머·세럼에 고급 감촉</t>
        </is>
      </c>
      <c r="V100" s="34" t="inlineStr">
        <is>
          <t>₩30,000/100g</t>
        </is>
      </c>
      <c r="W100" s="37" t="inlineStr">
        <is>
          <t>★☆☆☆☆</t>
        </is>
      </c>
      <c r="X100" s="34" t="inlineStr">
        <is>
          <t>밀봉</t>
        </is>
      </c>
      <c r="Y100" s="34" t="inlineStr">
        <is>
          <t>제한 없음</t>
        </is>
      </c>
      <c r="Z100" s="34" t="inlineStr">
        <is>
          <t>—</t>
        </is>
      </c>
      <c r="AA100" s="34" t="inlineStr">
        <is>
          <t>실리카·디메치콘</t>
        </is>
      </c>
      <c r="AB100" s="34" t="inlineStr">
        <is>
          <t>'블러·벨벳' 감촉의 정체</t>
        </is>
      </c>
      <c r="AC100" s="34" t="inlineStr">
        <is>
          <t>—</t>
        </is>
      </c>
      <c r="AD100" s="34" t="inlineStr">
        <is>
          <t>기본</t>
        </is>
      </c>
      <c r="AE100" s="38" t="n"/>
      <c r="AF100" s="39" t="n"/>
      <c r="AG100" s="38" t="n"/>
    </row>
    <row r="101" ht="92" customHeight="1">
      <c r="A101" s="52" t="n">
        <v>97</v>
      </c>
      <c r="B101" s="53" t="inlineStr">
        <is>
          <t>페닐트리메치콘</t>
        </is>
      </c>
      <c r="C101" s="34" t="inlineStr">
        <is>
          <t>Phenyl Trimethicone</t>
        </is>
      </c>
      <c r="D101" s="37" t="inlineStr">
        <is>
          <t>–</t>
        </is>
      </c>
      <c r="E101" s="54" t="inlineStr">
        <is>
          <t>감촉·실리콘</t>
        </is>
      </c>
      <c r="F101" s="34" t="inlineStr">
        <is>
          <t>광택·헤어 윤기</t>
        </is>
      </c>
      <c r="G101" s="34" t="inlineStr">
        <is>
          <t>합성</t>
        </is>
      </c>
      <c r="H101" s="34" t="inlineStr">
        <is>
          <t>실리콘</t>
        </is>
      </c>
      <c r="I101" s="34" t="inlineStr">
        <is>
          <t>페닐기 도입 실록산</t>
        </is>
      </c>
      <c r="J101" s="34" t="inlineStr">
        <is>
          <t>페닐 실리콘</t>
        </is>
      </c>
      <c r="K101" s="34" t="inlineStr">
        <is>
          <t>액상</t>
        </is>
      </c>
      <c r="L101" s="34" t="inlineStr">
        <is>
          <t>무색</t>
        </is>
      </c>
      <c r="M101" s="34" t="inlineStr">
        <is>
          <t>무취</t>
        </is>
      </c>
      <c r="N101" s="34" t="inlineStr">
        <is>
          <t>유용성(오일과 상용성 좋음)</t>
        </is>
      </c>
      <c r="O101" s="34" t="inlineStr">
        <is>
          <t>B상 or 냉각상</t>
        </is>
      </c>
      <c r="P101" s="34" t="inlineStr">
        <is>
          <t>미끄럽고 광택</t>
        </is>
      </c>
      <c r="Q101" s="34" t="inlineStr">
        <is>
          <t>최상</t>
        </is>
      </c>
      <c r="R101" s="34" t="inlineStr">
        <is>
          <t>윤기</t>
        </is>
      </c>
      <c r="S101" s="34" t="inlineStr">
        <is>
          <t>1~5%</t>
        </is>
      </c>
      <c r="T101" s="34" t="inlineStr">
        <is>
          <t>안정</t>
        </is>
      </c>
      <c r="U101" s="34" t="inlineStr">
        <is>
          <t>식물 오일과 잘 섞임(일반 디메치콘보다)</t>
        </is>
      </c>
      <c r="V101" s="34" t="inlineStr">
        <is>
          <t>₩20,000/100g</t>
        </is>
      </c>
      <c r="W101" s="37" t="inlineStr">
        <is>
          <t>★☆☆☆☆</t>
        </is>
      </c>
      <c r="X101" s="34" t="inlineStr">
        <is>
          <t>서늘</t>
        </is>
      </c>
      <c r="Y101" s="34" t="inlineStr">
        <is>
          <t>제한 없음</t>
        </is>
      </c>
      <c r="Z101" s="34" t="inlineStr">
        <is>
          <t>—</t>
        </is>
      </c>
      <c r="AA101" s="34" t="inlineStr">
        <is>
          <t>디메치콘·동백오일</t>
        </is>
      </c>
      <c r="AB101" s="34" t="inlineStr">
        <is>
          <t>광택 원할 때. 헤어오일 핵심</t>
        </is>
      </c>
      <c r="AC101" s="34" t="inlineStr">
        <is>
          <t>—</t>
        </is>
      </c>
      <c r="AD101" s="34" t="inlineStr">
        <is>
          <t>기본</t>
        </is>
      </c>
      <c r="AE101" s="38" t="n"/>
      <c r="AF101" s="39" t="n"/>
      <c r="AG101" s="38" t="n"/>
    </row>
    <row r="102" ht="92" customHeight="1">
      <c r="A102" s="52" t="n">
        <v>98</v>
      </c>
      <c r="B102" s="53" t="inlineStr">
        <is>
          <t>아모다이메치콘</t>
        </is>
      </c>
      <c r="C102" s="34" t="inlineStr">
        <is>
          <t>Amodimethicone</t>
        </is>
      </c>
      <c r="D102" s="37" t="inlineStr">
        <is>
          <t>–</t>
        </is>
      </c>
      <c r="E102" s="54" t="inlineStr">
        <is>
          <t>감촉·실리콘</t>
        </is>
      </c>
      <c r="F102" s="34" t="inlineStr">
        <is>
          <t>손상 모발 흡착 컨디셔닝</t>
        </is>
      </c>
      <c r="G102" s="34" t="inlineStr">
        <is>
          <t>합성</t>
        </is>
      </c>
      <c r="H102" s="34" t="inlineStr">
        <is>
          <t>실리콘 + 아미노기</t>
        </is>
      </c>
      <c r="I102" s="34" t="inlineStr">
        <is>
          <t>아미노 관능 실리콘 → 에멀전 원료</t>
        </is>
      </c>
      <c r="J102" s="34" t="inlineStr">
        <is>
          <t>양이온성 아미노 실리콘</t>
        </is>
      </c>
      <c r="K102" s="34" t="inlineStr">
        <is>
          <t>유백 에멀전</t>
        </is>
      </c>
      <c r="L102" s="34" t="inlineStr">
        <is>
          <t>유백색</t>
        </is>
      </c>
      <c r="M102" s="34" t="inlineStr">
        <is>
          <t>무취</t>
        </is>
      </c>
      <c r="N102" s="34" t="inlineStr">
        <is>
          <t>수분산</t>
        </is>
      </c>
      <c r="O102" s="34" t="inlineStr">
        <is>
          <t>냉각상</t>
        </is>
      </c>
      <c r="P102" s="34" t="inlineStr">
        <is>
          <t>미끈·윤기</t>
        </is>
      </c>
      <c r="Q102" s="34" t="inlineStr">
        <is>
          <t>좋음</t>
        </is>
      </c>
      <c r="R102" s="34" t="inlineStr">
        <is>
          <t>부드러운 코팅</t>
        </is>
      </c>
      <c r="S102" s="34" t="inlineStr">
        <is>
          <t>0.5~3%</t>
        </is>
      </c>
      <c r="T102" s="34" t="inlineStr">
        <is>
          <t>pH 4~6</t>
        </is>
      </c>
      <c r="U102" s="34" t="inlineStr">
        <is>
          <t>손상(음전하) 부위에 선택적 흡착 → 헤어 전용</t>
        </is>
      </c>
      <c r="V102" s="34" t="inlineStr">
        <is>
          <t>₩20,000/100g</t>
        </is>
      </c>
      <c r="W102" s="37" t="inlineStr">
        <is>
          <t>★★☆☆☆</t>
        </is>
      </c>
      <c r="X102" s="34" t="inlineStr">
        <is>
          <t>서늘</t>
        </is>
      </c>
      <c r="Y102" s="34" t="inlineStr">
        <is>
          <t>제한 없음</t>
        </is>
      </c>
      <c r="Z102" s="34" t="inlineStr">
        <is>
          <t>—</t>
        </is>
      </c>
      <c r="AA102" s="34" t="inlineStr">
        <is>
          <t>디메치콘·BTMS</t>
        </is>
      </c>
      <c r="AB102" s="34" t="inlineStr">
        <is>
          <t>헤어 컨디셔너·트리트먼트</t>
        </is>
      </c>
      <c r="AC102" s="34" t="inlineStr">
        <is>
          <t>—</t>
        </is>
      </c>
      <c r="AD102" s="34" t="inlineStr">
        <is>
          <t>도감 기능성</t>
        </is>
      </c>
      <c r="AE102" s="38" t="n"/>
      <c r="AF102" s="39" t="n"/>
      <c r="AG102" s="38" t="n"/>
    </row>
    <row r="103" ht="92" customHeight="1">
      <c r="A103" s="55" t="n">
        <v>99</v>
      </c>
      <c r="B103" s="56" t="inlineStr">
        <is>
          <t>나이아신아마이드</t>
        </is>
      </c>
      <c r="C103" s="34" t="inlineStr">
        <is>
          <t>Niacinamide</t>
        </is>
      </c>
      <c r="D103" s="35" t="inlineStr">
        <is>
          <t>✓</t>
        </is>
      </c>
      <c r="E103" s="57" t="inlineStr">
        <is>
          <t>활성</t>
        </is>
      </c>
      <c r="F103" s="34" t="inlineStr">
        <is>
          <t>피지·장벽·톤</t>
        </is>
      </c>
      <c r="G103" s="34" t="inlineStr">
        <is>
          <t>합성</t>
        </is>
      </c>
      <c r="H103" s="34" t="inlineStr">
        <is>
          <t>3-시아노피리딘(석유)</t>
        </is>
      </c>
      <c r="I103" s="34" t="inlineStr">
        <is>
          <t>니트릴 가수분해 → 결정화 (비타민 B3 아마이드)</t>
        </is>
      </c>
      <c r="J103" s="34" t="inlineStr">
        <is>
          <t>비타민 B3</t>
        </is>
      </c>
      <c r="K103" s="34" t="inlineStr">
        <is>
          <t>결정 분말</t>
        </is>
      </c>
      <c r="L103" s="34" t="inlineStr">
        <is>
          <t>백색</t>
        </is>
      </c>
      <c r="M103" s="34" t="inlineStr">
        <is>
          <t>무취(약간 쓴맛)</t>
        </is>
      </c>
      <c r="N103" s="34" t="inlineStr">
        <is>
          <t>수용성</t>
        </is>
      </c>
      <c r="O103" s="34" t="inlineStr">
        <is>
          <t>A상 or 냉각상(열 비교적 안정)</t>
        </is>
      </c>
      <c r="P103" s="34" t="inlineStr">
        <is>
          <t>산뜻, 고%면 화끈·홍조 가능</t>
        </is>
      </c>
      <c r="Q103" s="34" t="inlineStr">
        <is>
          <t>—</t>
        </is>
      </c>
      <c r="R103" s="34" t="inlineStr">
        <is>
          <t>무감</t>
        </is>
      </c>
      <c r="S103" s="34" t="inlineStr">
        <is>
          <t>2~5%</t>
        </is>
      </c>
      <c r="T103" s="34" t="inlineStr">
        <is>
          <t>pH 5~7 안정. 강산에서 장시간 → 니코틴산(홍조)</t>
        </is>
      </c>
      <c r="U103" s="34" t="inlineStr">
        <is>
          <t>고순도·CoA 확인(니코틴산 잔류). 비타민C 순수형과 '함께 X' 설은 대부분 과장, pH 관리가 핵심</t>
        </is>
      </c>
      <c r="V103" s="34" t="inlineStr">
        <is>
          <t>₩5,000~8,000/50g</t>
        </is>
      </c>
      <c r="W103" s="37" t="inlineStr">
        <is>
          <t>★★★★★</t>
        </is>
      </c>
      <c r="X103" s="34" t="inlineStr">
        <is>
          <t>방습</t>
        </is>
      </c>
      <c r="Y103" s="34" t="inlineStr">
        <is>
          <t>★ 미백 기능성 고시 2~5%</t>
        </is>
      </c>
      <c r="Z103" s="34" t="inlineStr">
        <is>
          <t>★ 미백 주성분 2~5% 암기</t>
        </is>
      </c>
      <c r="AA103" s="34" t="inlineStr">
        <is>
          <t>알부틴·아스코빌글루코사이드·아연피카</t>
        </is>
      </c>
      <c r="AB103" s="34" t="inlineStr">
        <is>
          <t>가장 범용 활성. '미백' 표시는 기능성 보고 필요</t>
        </is>
      </c>
      <c r="AC103" s="34" t="inlineStr">
        <is>
          <t>2% vs 5% 수용액 팔 안쪽 10분 — 화끈·붉어짐 체크</t>
        </is>
      </c>
      <c r="AD103" s="34" t="inlineStr">
        <is>
          <t>기본</t>
        </is>
      </c>
      <c r="AE103" s="38" t="n"/>
      <c r="AF103" s="39" t="n"/>
      <c r="AG103" s="38" t="n"/>
    </row>
    <row r="104" ht="92" customHeight="1">
      <c r="A104" s="55" t="n">
        <v>100</v>
      </c>
      <c r="B104" s="56" t="inlineStr">
        <is>
          <t>베타글루칸</t>
        </is>
      </c>
      <c r="C104" s="34" t="inlineStr">
        <is>
          <t>Beta-Glucan</t>
        </is>
      </c>
      <c r="D104" s="35" t="inlineStr">
        <is>
          <t>✓</t>
        </is>
      </c>
      <c r="E104" s="57" t="inlineStr">
        <is>
          <t>활성</t>
        </is>
      </c>
      <c r="F104" s="34" t="inlineStr">
        <is>
          <t>진정·보습막</t>
        </is>
      </c>
      <c r="G104" s="34" t="inlineStr">
        <is>
          <t>발효/식물</t>
        </is>
      </c>
      <c r="H104" s="34" t="inlineStr">
        <is>
          <t>효모·귀리·버섯(치마버섯) 세포벽</t>
        </is>
      </c>
      <c r="I104" s="34" t="inlineStr">
        <is>
          <t>알칼리/효소 추출 → 정제 → 보통 0.1~1% 원료액</t>
        </is>
      </c>
      <c r="J104" s="34" t="inlineStr">
        <is>
          <t>다당류(β-1,3/1,6)</t>
        </is>
      </c>
      <c r="K104" s="34" t="inlineStr">
        <is>
          <t>액상(원료액)</t>
        </is>
      </c>
      <c r="L104" s="34" t="inlineStr">
        <is>
          <t>무색~미황, 약간 점성</t>
        </is>
      </c>
      <c r="M104" s="34" t="inlineStr">
        <is>
          <t>거의 무취</t>
        </is>
      </c>
      <c r="N104" s="34" t="inlineStr">
        <is>
          <t>수용성</t>
        </is>
      </c>
      <c r="O104" s="34" t="inlineStr">
        <is>
          <t>냉각상</t>
        </is>
      </c>
      <c r="P104" s="34" t="inlineStr">
        <is>
          <t>촉촉·부드러운 막</t>
        </is>
      </c>
      <c r="Q104" s="34" t="inlineStr">
        <is>
          <t>좋음</t>
        </is>
      </c>
      <c r="R104" s="34" t="inlineStr">
        <is>
          <t>얇은 막</t>
        </is>
      </c>
      <c r="S104" s="34" t="inlineStr">
        <is>
          <t>1~5%(원료액)</t>
        </is>
      </c>
      <c r="T104" s="34" t="inlineStr">
        <is>
          <t>pH 4~8, 미생물 취약</t>
        </is>
      </c>
      <c r="U104" s="34" t="inlineStr">
        <is>
          <t>개봉 후 냉장. 원료액 농도 회사마다 다름 → TDS 확인</t>
        </is>
      </c>
      <c r="V104" s="34" t="inlineStr">
        <is>
          <t>₩10,000~15,000/50ml</t>
        </is>
      </c>
      <c r="W104" s="37" t="inlineStr">
        <is>
          <t>★★★★☆</t>
        </is>
      </c>
      <c r="X104" s="34" t="inlineStr">
        <is>
          <t>냉장·차광, 동결 금지</t>
        </is>
      </c>
      <c r="Y104" s="34" t="inlineStr">
        <is>
          <t>제한 없음</t>
        </is>
      </c>
      <c r="Z104" s="34" t="inlineStr">
        <is>
          <t>—</t>
        </is>
      </c>
      <c r="AA104" s="34" t="inlineStr">
        <is>
          <t>판테놀·알란토인·병풀</t>
        </is>
      </c>
      <c r="AB104" s="34" t="inlineStr">
        <is>
          <t>히알루론산 대신 '진정+보습막' 스토리</t>
        </is>
      </c>
      <c r="AC104" s="34" t="inlineStr">
        <is>
          <t>베타글루칸 원액 vs HA 0.1% 손등 막감 비교</t>
        </is>
      </c>
      <c r="AD104" s="34" t="inlineStr">
        <is>
          <t>기본</t>
        </is>
      </c>
      <c r="AE104" s="38" t="n"/>
      <c r="AF104" s="39" t="n"/>
      <c r="AG104" s="38" t="n"/>
    </row>
    <row r="105" ht="92" customHeight="1">
      <c r="A105" s="55" t="n">
        <v>101</v>
      </c>
      <c r="B105" s="56" t="inlineStr">
        <is>
          <t>아연피카</t>
        </is>
      </c>
      <c r="C105" s="34" t="inlineStr">
        <is>
          <t>Zinc PCA</t>
        </is>
      </c>
      <c r="D105" s="35" t="inlineStr">
        <is>
          <t>✓</t>
        </is>
      </c>
      <c r="E105" s="57" t="inlineStr">
        <is>
          <t>활성</t>
        </is>
      </c>
      <c r="F105" s="34" t="inlineStr">
        <is>
          <t>피지 관리 포지션·수렴감</t>
        </is>
      </c>
      <c r="G105" s="34" t="inlineStr">
        <is>
          <t>합성</t>
        </is>
      </c>
      <c r="H105" s="34" t="inlineStr">
        <is>
          <t>아연 + PCA(글루탐산)</t>
        </is>
      </c>
      <c r="I105" s="34" t="inlineStr">
        <is>
          <t>PCA 아연염 합성 → 분말</t>
        </is>
      </c>
      <c r="J105" s="34" t="inlineStr">
        <is>
          <t>아연 유기염</t>
        </is>
      </c>
      <c r="K105" s="34" t="inlineStr">
        <is>
          <t>분말</t>
        </is>
      </c>
      <c r="L105" s="34" t="inlineStr">
        <is>
          <t>백색</t>
        </is>
      </c>
      <c r="M105" s="34" t="inlineStr">
        <is>
          <t>무취</t>
        </is>
      </c>
      <c r="N105" s="34" t="inlineStr">
        <is>
          <t>수용성</t>
        </is>
      </c>
      <c r="O105" s="34" t="inlineStr">
        <is>
          <t>A상</t>
        </is>
      </c>
      <c r="P105" s="34" t="inlineStr">
        <is>
          <t>산뜻·약간 수렴</t>
        </is>
      </c>
      <c r="Q105" s="34" t="inlineStr">
        <is>
          <t>—</t>
        </is>
      </c>
      <c r="R105" s="34" t="inlineStr">
        <is>
          <t>보송</t>
        </is>
      </c>
      <c r="S105" s="34" t="inlineStr">
        <is>
          <t>0.1~1%</t>
        </is>
      </c>
      <c r="T105" s="34" t="inlineStr">
        <is>
          <t>pH 5~7</t>
        </is>
      </c>
      <c r="U105" s="34" t="inlineStr">
        <is>
          <t>전해질 → 카보머 점도↓. HA·음이온 고분자와 상호작용 체크</t>
        </is>
      </c>
      <c r="V105" s="34" t="inlineStr">
        <is>
          <t>₩10,000~15,000/50g</t>
        </is>
      </c>
      <c r="W105" s="37" t="inlineStr">
        <is>
          <t>★★★★☆</t>
        </is>
      </c>
      <c r="X105" s="34" t="inlineStr">
        <is>
          <t>방습</t>
        </is>
      </c>
      <c r="Y105" s="34" t="inlineStr">
        <is>
          <t>★ 사용제한(기타): 수용성 징크염류 — 징크로서 1%</t>
        </is>
      </c>
      <c r="Z105" s="34" t="inlineStr">
        <is>
          <t>사용제한 '징크로서' 환산 개념</t>
        </is>
      </c>
      <c r="AA105" s="34" t="inlineStr">
        <is>
          <t>나이아신아마이드·살리실산</t>
        </is>
      </c>
      <c r="AB105" s="34" t="inlineStr">
        <is>
          <t>지성·피지 포지션 보조. 원료 % ≠ 아연 %</t>
        </is>
      </c>
      <c r="AC105" s="34" t="inlineStr">
        <is>
          <t>아연피카 % → '징크로서 %' 환산 계산 (TDS의 아연 함량×원료%)</t>
        </is>
      </c>
      <c r="AD105" s="34" t="inlineStr">
        <is>
          <t>기본</t>
        </is>
      </c>
      <c r="AE105" s="38" t="n"/>
      <c r="AF105" s="39" t="n"/>
      <c r="AG105" s="38" t="n"/>
    </row>
    <row r="106" ht="92" customHeight="1">
      <c r="A106" s="55" t="n">
        <v>102</v>
      </c>
      <c r="B106" s="56" t="inlineStr">
        <is>
          <t>알란토인</t>
        </is>
      </c>
      <c r="C106" s="34" t="inlineStr">
        <is>
          <t>Allantoin</t>
        </is>
      </c>
      <c r="D106" s="35" t="inlineStr">
        <is>
          <t>✓</t>
        </is>
      </c>
      <c r="E106" s="57" t="inlineStr">
        <is>
          <t>활성</t>
        </is>
      </c>
      <c r="F106" s="34" t="inlineStr">
        <is>
          <t>진정·각질 유연</t>
        </is>
      </c>
      <c r="G106" s="34" t="inlineStr">
        <is>
          <t>합성</t>
        </is>
      </c>
      <c r="H106" s="34" t="inlineStr">
        <is>
          <t>요소 + 글리옥실산 (원래 컴프리 뿌리)</t>
        </is>
      </c>
      <c r="I106" s="34" t="inlineStr">
        <is>
          <t>합성 → 결정화</t>
        </is>
      </c>
      <c r="J106" s="34" t="inlineStr">
        <is>
          <t>이미다졸리딘 유도체</t>
        </is>
      </c>
      <c r="K106" s="34" t="inlineStr">
        <is>
          <t>분말</t>
        </is>
      </c>
      <c r="L106" s="34" t="inlineStr">
        <is>
          <t>백색</t>
        </is>
      </c>
      <c r="M106" s="34" t="inlineStr">
        <is>
          <t>무취</t>
        </is>
      </c>
      <c r="N106" s="34" t="inlineStr">
        <is>
          <t>수용성(냉수 ~0.5%)</t>
        </is>
      </c>
      <c r="O106" s="34" t="inlineStr">
        <is>
          <t>A상 가온 용해</t>
        </is>
      </c>
      <c r="P106" s="34" t="inlineStr">
        <is>
          <t>무감·부드러움</t>
        </is>
      </c>
      <c r="Q106" s="34" t="inlineStr">
        <is>
          <t>—</t>
        </is>
      </c>
      <c r="R106" s="34" t="inlineStr">
        <is>
          <t>무감</t>
        </is>
      </c>
      <c r="S106" s="34" t="inlineStr">
        <is>
          <t>0.1~0.5%</t>
        </is>
      </c>
      <c r="T106" s="34" t="inlineStr">
        <is>
          <t>pH 4~9</t>
        </is>
      </c>
      <c r="U106" s="34" t="inlineStr">
        <is>
          <t>★ 0.5% 초과 시 식으면서 결정 석출(까끌) → 0.5% 이하</t>
        </is>
      </c>
      <c r="V106" s="34" t="inlineStr">
        <is>
          <t>₩3,000~5,000/30g</t>
        </is>
      </c>
      <c r="W106" s="37" t="inlineStr">
        <is>
          <t>★★★★★</t>
        </is>
      </c>
      <c r="X106" s="34" t="inlineStr">
        <is>
          <t>방습</t>
        </is>
      </c>
      <c r="Y106" s="34" t="inlineStr">
        <is>
          <t>제한 없음</t>
        </is>
      </c>
      <c r="Z106" s="34" t="inlineStr">
        <is>
          <t>—</t>
        </is>
      </c>
      <c r="AA106" s="34" t="inlineStr">
        <is>
          <t>판테놀·병풀</t>
        </is>
      </c>
      <c r="AB106" s="34" t="inlineStr">
        <is>
          <t>싸고 안전한 진정 기본템</t>
        </is>
      </c>
      <c r="AC106" s="34" t="inlineStr">
        <is>
          <t>0.3% vs 1% 수용액 하루 냉장 → 결정 생기는지 관찰</t>
        </is>
      </c>
      <c r="AD106" s="34" t="inlineStr">
        <is>
          <t>기본</t>
        </is>
      </c>
      <c r="AE106" s="38" t="n"/>
      <c r="AF106" s="39" t="n"/>
      <c r="AG106" s="38" t="n"/>
    </row>
    <row r="107" ht="92" customHeight="1">
      <c r="A107" s="55" t="n">
        <v>103</v>
      </c>
      <c r="B107" s="56" t="inlineStr">
        <is>
          <t>녹차추출물</t>
        </is>
      </c>
      <c r="C107" s="34" t="inlineStr">
        <is>
          <t>Camellia Sinensis Leaf Extract</t>
        </is>
      </c>
      <c r="D107" s="35" t="inlineStr">
        <is>
          <t>✓</t>
        </is>
      </c>
      <c r="E107" s="57" t="inlineStr">
        <is>
          <t>활성</t>
        </is>
      </c>
      <c r="F107" s="34" t="inlineStr">
        <is>
          <t>항산화·진정 이미지</t>
        </is>
      </c>
      <c r="G107" s="34" t="inlineStr">
        <is>
          <t>식물</t>
        </is>
      </c>
      <c r="H107" s="34" t="inlineStr">
        <is>
          <t>녹차잎(제주)</t>
        </is>
      </c>
      <c r="I107" s="34" t="inlineStr">
        <is>
          <t>물/BG/에탄올 추출 → 여과 → 용매 희석</t>
        </is>
      </c>
      <c r="J107" s="34" t="inlineStr">
        <is>
          <t>폴리페놀(카테킨 EGCG)</t>
        </is>
      </c>
      <c r="K107" s="34" t="inlineStr">
        <is>
          <t>액상</t>
        </is>
      </c>
      <c r="L107" s="34" t="inlineStr">
        <is>
          <t>연갈색~호박색</t>
        </is>
      </c>
      <c r="M107" s="34" t="inlineStr">
        <is>
          <t>녹차향</t>
        </is>
      </c>
      <c r="N107" s="34" t="inlineStr">
        <is>
          <t>수용성</t>
        </is>
      </c>
      <c r="O107" s="34" t="inlineStr">
        <is>
          <t>냉각상</t>
        </is>
      </c>
      <c r="P107" s="34" t="inlineStr">
        <is>
          <t>무감</t>
        </is>
      </c>
      <c r="Q107" s="34" t="inlineStr">
        <is>
          <t>—</t>
        </is>
      </c>
      <c r="R107" s="34" t="inlineStr">
        <is>
          <t>—</t>
        </is>
      </c>
      <c r="S107" s="34" t="inlineStr">
        <is>
          <t>1~5%</t>
        </is>
      </c>
      <c r="T107" s="34" t="inlineStr">
        <is>
          <t>pH 높으면·빛·철 이온에 갈변</t>
        </is>
      </c>
      <c r="U107" s="34" t="inlineStr">
        <is>
          <t>EDTA/피테이트로 갈변↓. 제품 색이 노래질 수 있음</t>
        </is>
      </c>
      <c r="V107" s="34" t="inlineStr">
        <is>
          <t>₩8,000~12,000/50ml</t>
        </is>
      </c>
      <c r="W107" s="37" t="inlineStr">
        <is>
          <t>★★★★★</t>
        </is>
      </c>
      <c r="X107" s="34" t="inlineStr">
        <is>
          <t>냉장·차광</t>
        </is>
      </c>
      <c r="Y107" s="34" t="inlineStr">
        <is>
          <t>제한 없음</t>
        </is>
      </c>
      <c r="Z107" s="34" t="inlineStr">
        <is>
          <t>추출물 = 용매+식물성분 (전성분에 용매도 표기)</t>
        </is>
      </c>
      <c r="AA107" s="34" t="inlineStr">
        <is>
          <t>병풀·마데카소사이드</t>
        </is>
      </c>
      <c r="AB107" s="34" t="inlineStr">
        <is>
          <t>'제주' 스토리·저가. 효능 수치보단 이미지</t>
        </is>
      </c>
      <c r="AC107" s="34" t="inlineStr">
        <is>
          <t>녹차추출물 수용액 2개, 하나만 구연산으로 pH↓ → 1주 색 변화</t>
        </is>
      </c>
      <c r="AD107" s="34" t="inlineStr">
        <is>
          <t>기본</t>
        </is>
      </c>
      <c r="AE107" s="38" t="n"/>
      <c r="AF107" s="39" t="n"/>
      <c r="AG107" s="38" t="n"/>
    </row>
    <row r="108" ht="92" customHeight="1">
      <c r="A108" s="55" t="n">
        <v>104</v>
      </c>
      <c r="B108" s="56" t="inlineStr">
        <is>
          <t>마데카소사이드</t>
        </is>
      </c>
      <c r="C108" s="34" t="inlineStr">
        <is>
          <t>Madecassoside</t>
        </is>
      </c>
      <c r="D108" s="35" t="inlineStr">
        <is>
          <t>✓</t>
        </is>
      </c>
      <c r="E108" s="57" t="inlineStr">
        <is>
          <t>활성</t>
        </is>
      </c>
      <c r="F108" s="34" t="inlineStr">
        <is>
          <t>진정(병풀 단일 성분)</t>
        </is>
      </c>
      <c r="G108" s="34" t="inlineStr">
        <is>
          <t>식물</t>
        </is>
      </c>
      <c r="H108" s="34" t="inlineStr">
        <is>
          <t>병풀 잎</t>
        </is>
      </c>
      <c r="I108" s="34" t="inlineStr">
        <is>
          <t>에탄올 추출 → 크로마토그래피 정제(트리테르펜 배당체). 원료는 고순도 분말, 허브누리=희석액</t>
        </is>
      </c>
      <c r="J108" s="34" t="inlineStr">
        <is>
          <t>트리테르펜 배당체</t>
        </is>
      </c>
      <c r="K108" s="34" t="inlineStr">
        <is>
          <t>액상(희석액)</t>
        </is>
      </c>
      <c r="L108" s="34" t="inlineStr">
        <is>
          <t>무색~미황</t>
        </is>
      </c>
      <c r="M108" s="34" t="inlineStr">
        <is>
          <t>무취</t>
        </is>
      </c>
      <c r="N108" s="34" t="inlineStr">
        <is>
          <t>수용성</t>
        </is>
      </c>
      <c r="O108" s="34" t="inlineStr">
        <is>
          <t>냉각상</t>
        </is>
      </c>
      <c r="P108" s="34" t="inlineStr">
        <is>
          <t>무감</t>
        </is>
      </c>
      <c r="Q108" s="34" t="inlineStr">
        <is>
          <t>—</t>
        </is>
      </c>
      <c r="R108" s="34" t="inlineStr">
        <is>
          <t>—</t>
        </is>
      </c>
      <c r="S108" s="34" t="inlineStr">
        <is>
          <t>희석액 1~5% / 순분말 0.1%</t>
        </is>
      </c>
      <c r="T108" s="34" t="inlineStr">
        <is>
          <t>열·장기 상온 약함</t>
        </is>
      </c>
      <c r="U108" s="34" t="inlineStr">
        <is>
          <t>허브누리 액상은 냉동 보관. 순도 표기 확인</t>
        </is>
      </c>
      <c r="V108" s="34" t="inlineStr">
        <is>
          <t>₩15,000~30,000/30g</t>
        </is>
      </c>
      <c r="W108" s="37" t="inlineStr">
        <is>
          <t>★★★☆☆</t>
        </is>
      </c>
      <c r="X108" s="34" t="inlineStr">
        <is>
          <t>냉동(허브누리)</t>
        </is>
      </c>
      <c r="Y108" s="34" t="inlineStr">
        <is>
          <t>제한 없음</t>
        </is>
      </c>
      <c r="Z108" s="34" t="inlineStr">
        <is>
          <t>—</t>
        </is>
      </c>
      <c r="AA108" s="34" t="inlineStr">
        <is>
          <t>병풀추출물·알란토인</t>
        </is>
      </c>
      <c r="AB108" s="34" t="inlineStr">
        <is>
          <t>단일 성분이라 '시카' 소구 정확. 비쌈</t>
        </is>
      </c>
      <c r="AC108" s="34" t="inlineStr">
        <is>
          <t>전성분 순서로 실제 함량 추정 연습(1% 이하 성분은 순서 자유)</t>
        </is>
      </c>
      <c r="AD108" s="34" t="inlineStr">
        <is>
          <t>기본</t>
        </is>
      </c>
      <c r="AE108" s="38" t="n"/>
      <c r="AF108" s="39" t="n"/>
      <c r="AG108" s="38" t="n"/>
    </row>
    <row r="109" ht="92" customHeight="1">
      <c r="A109" s="55" t="n">
        <v>105</v>
      </c>
      <c r="B109" s="56" t="inlineStr">
        <is>
          <t>판테놀(B5)</t>
        </is>
      </c>
      <c r="C109" s="34" t="inlineStr">
        <is>
          <t>Panthenol</t>
        </is>
      </c>
      <c r="D109" s="35" t="inlineStr">
        <is>
          <t>✓</t>
        </is>
      </c>
      <c r="E109" s="57" t="inlineStr">
        <is>
          <t>활성</t>
        </is>
      </c>
      <c r="F109" s="34" t="inlineStr">
        <is>
          <t>보습·진정·장벽</t>
        </is>
      </c>
      <c r="G109" s="34" t="inlineStr">
        <is>
          <t>합성</t>
        </is>
      </c>
      <c r="H109" s="34" t="inlineStr">
        <is>
          <t>판토락톤 + 3-아미노프로판올</t>
        </is>
      </c>
      <c r="I109" s="34" t="inlineStr">
        <is>
          <t>합성 → D형(액상) / DL형(분말)</t>
        </is>
      </c>
      <c r="J109" s="34" t="inlineStr">
        <is>
          <t>프로비타민 B5</t>
        </is>
      </c>
      <c r="K109" s="34" t="inlineStr">
        <is>
          <t>점성 액상(D) / 분말(DL)</t>
        </is>
      </c>
      <c r="L109" s="34" t="inlineStr">
        <is>
          <t>무색 투명</t>
        </is>
      </c>
      <c r="M109" s="34" t="inlineStr">
        <is>
          <t>무취</t>
        </is>
      </c>
      <c r="N109" s="34" t="inlineStr">
        <is>
          <t>수용성</t>
        </is>
      </c>
      <c r="O109" s="34" t="inlineStr">
        <is>
          <t>냉각상(&lt;40℃)</t>
        </is>
      </c>
      <c r="P109" s="34" t="inlineStr">
        <is>
          <t>촉촉·약간 끈적(고%)</t>
        </is>
      </c>
      <c r="Q109" s="34" t="inlineStr">
        <is>
          <t>—</t>
        </is>
      </c>
      <c r="R109" s="34" t="inlineStr">
        <is>
          <t>부드러운 막</t>
        </is>
      </c>
      <c r="S109" s="34" t="inlineStr">
        <is>
          <t>1~5%</t>
        </is>
      </c>
      <c r="T109" s="34" t="inlineStr">
        <is>
          <t>pH 4~7 안정, 고온 지속 시 라세미화</t>
        </is>
      </c>
      <c r="U109" s="34" t="inlineStr">
        <is>
          <t>D-판테놀은 꿀처럼 진득 → 미지근한 물에 녹이기</t>
        </is>
      </c>
      <c r="V109" s="34" t="inlineStr">
        <is>
          <t>₩8,000~12,000/90ml</t>
        </is>
      </c>
      <c r="W109" s="37" t="inlineStr">
        <is>
          <t>★★★★★</t>
        </is>
      </c>
      <c r="X109" s="34" t="inlineStr">
        <is>
          <t>서늘</t>
        </is>
      </c>
      <c r="Y109" s="34" t="inlineStr">
        <is>
          <t>일반 제한 없음 / ★ 덱스판테놀=탈모 증상 완화 기능성 성분</t>
        </is>
      </c>
      <c r="Z109" s="34" t="inlineStr">
        <is>
          <t>★ 탈모 완화 고시: 덱스판테놀·비오틴·엘-멘톨·징크피리치온</t>
        </is>
      </c>
      <c r="AA109" s="34" t="inlineStr">
        <is>
          <t>알란토인·베타글루칸</t>
        </is>
      </c>
      <c r="AB109" s="34" t="inlineStr">
        <is>
          <t>진정·보습 겸용 만능. 5%면 '판테놀 크림' 소구 가능</t>
        </is>
      </c>
      <c r="AC109" s="34" t="inlineStr">
        <is>
          <t>판테놀 원액 점도 직접 확인 → 계량(무게) 정확도 연습</t>
        </is>
      </c>
      <c r="AD109" s="34" t="inlineStr">
        <is>
          <t>기본</t>
        </is>
      </c>
      <c r="AE109" s="38" t="n"/>
      <c r="AF109" s="39" t="n"/>
      <c r="AG109" s="38" t="n"/>
    </row>
    <row r="110" ht="92" customHeight="1">
      <c r="A110" s="55" t="n">
        <v>106</v>
      </c>
      <c r="B110" s="56" t="inlineStr">
        <is>
          <t>병풀추출물</t>
        </is>
      </c>
      <c r="C110" s="34" t="inlineStr">
        <is>
          <t>Centella Asiatica Extract</t>
        </is>
      </c>
      <c r="D110" s="37" t="inlineStr">
        <is>
          <t>–</t>
        </is>
      </c>
      <c r="E110" s="57" t="inlineStr">
        <is>
          <t>활성</t>
        </is>
      </c>
      <c r="F110" s="34" t="inlineStr">
        <is>
          <t>진정 이미지(시카)</t>
        </is>
      </c>
      <c r="G110" s="34" t="inlineStr">
        <is>
          <t>식물</t>
        </is>
      </c>
      <c r="H110" s="34" t="inlineStr">
        <is>
          <t>병풀 전초</t>
        </is>
      </c>
      <c r="I110" s="34" t="inlineStr">
        <is>
          <t>물/BG 추출 → 여과</t>
        </is>
      </c>
      <c r="J110" s="34" t="inlineStr">
        <is>
          <t>혼합 추출물(아시아티코사이드 등)</t>
        </is>
      </c>
      <c r="K110" s="34" t="inlineStr">
        <is>
          <t>액상</t>
        </is>
      </c>
      <c r="L110" s="34" t="inlineStr">
        <is>
          <t>연갈색</t>
        </is>
      </c>
      <c r="M110" s="34" t="inlineStr">
        <is>
          <t>풀향</t>
        </is>
      </c>
      <c r="N110" s="34" t="inlineStr">
        <is>
          <t>수용성</t>
        </is>
      </c>
      <c r="O110" s="34" t="inlineStr">
        <is>
          <t>냉각상</t>
        </is>
      </c>
      <c r="P110" s="34" t="inlineStr">
        <is>
          <t>무감</t>
        </is>
      </c>
      <c r="Q110" s="34" t="inlineStr">
        <is>
          <t>—</t>
        </is>
      </c>
      <c r="R110" s="34" t="inlineStr">
        <is>
          <t>—</t>
        </is>
      </c>
      <c r="S110" s="34" t="inlineStr">
        <is>
          <t>1~5%</t>
        </is>
      </c>
      <c r="T110" s="34" t="inlineStr">
        <is>
          <t>보통</t>
        </is>
      </c>
      <c r="U110" s="34" t="inlineStr">
        <is>
          <t>유효성분 함량 낮음 — 고함량 소구는 마데카소사이드</t>
        </is>
      </c>
      <c r="V110" s="34" t="inlineStr">
        <is>
          <t>₩8,000~12,000/50ml</t>
        </is>
      </c>
      <c r="W110" s="37" t="inlineStr">
        <is>
          <t>★★★★★</t>
        </is>
      </c>
      <c r="X110" s="34" t="inlineStr">
        <is>
          <t>냉장·차광</t>
        </is>
      </c>
      <c r="Y110" s="34" t="inlineStr">
        <is>
          <t>제한 없음</t>
        </is>
      </c>
      <c r="Z110" s="34" t="inlineStr">
        <is>
          <t>—</t>
        </is>
      </c>
      <c r="AA110" s="34" t="inlineStr">
        <is>
          <t>마데카소사이드</t>
        </is>
      </c>
      <c r="AB110" s="34" t="inlineStr">
        <is>
          <t>싸고 '시카' 스토리 충분</t>
        </is>
      </c>
      <c r="AC110" s="34" t="inlineStr">
        <is>
          <t>병풀추출물 vs 마데카소사이드 색·냄새 비교</t>
        </is>
      </c>
      <c r="AD110" s="34" t="inlineStr">
        <is>
          <t>기본</t>
        </is>
      </c>
      <c r="AE110" s="38" t="n"/>
      <c r="AF110" s="39" t="n"/>
      <c r="AG110" s="38" t="n"/>
    </row>
    <row r="111" ht="92" customHeight="1">
      <c r="A111" s="55" t="n">
        <v>107</v>
      </c>
      <c r="B111" s="56" t="inlineStr">
        <is>
          <t>세라마이드NP</t>
        </is>
      </c>
      <c r="C111" s="34" t="inlineStr">
        <is>
          <t>Ceramide NP</t>
        </is>
      </c>
      <c r="D111" s="37" t="inlineStr">
        <is>
          <t>–</t>
        </is>
      </c>
      <c r="E111" s="57" t="inlineStr">
        <is>
          <t>활성</t>
        </is>
      </c>
      <c r="F111" s="34" t="inlineStr">
        <is>
          <t>장벽(각질 지질)</t>
        </is>
      </c>
      <c r="G111" s="34" t="inlineStr">
        <is>
          <t>발효/합성</t>
        </is>
      </c>
      <c r="H111" s="34" t="inlineStr">
        <is>
          <t>효모 발효 / 합성</t>
        </is>
      </c>
      <c r="I111" s="34" t="inlineStr">
        <is>
          <t>발효로 스핑고이드 염기 생산 → 지방산 결합</t>
        </is>
      </c>
      <c r="J111" s="34" t="inlineStr">
        <is>
          <t>스핑고지질</t>
        </is>
      </c>
      <c r="K111" s="34" t="inlineStr">
        <is>
          <t>분말</t>
        </is>
      </c>
      <c r="L111" s="34" t="inlineStr">
        <is>
          <t>백색</t>
        </is>
      </c>
      <c r="M111" s="34" t="inlineStr">
        <is>
          <t>무취</t>
        </is>
      </c>
      <c r="N111" s="34" t="inlineStr">
        <is>
          <t>유용성(녹는점 ~100℃↑)</t>
        </is>
      </c>
      <c r="O111" s="34" t="inlineStr">
        <is>
          <t>B상 고온 완전 용해 or 리포좀 원료</t>
        </is>
      </c>
      <c r="P111" s="34" t="inlineStr">
        <is>
          <t>무감</t>
        </is>
      </c>
      <c r="Q111" s="34" t="inlineStr">
        <is>
          <t>—</t>
        </is>
      </c>
      <c r="R111" s="34" t="inlineStr">
        <is>
          <t>—</t>
        </is>
      </c>
      <c r="S111" s="34" t="inlineStr">
        <is>
          <t>0.1~1% (수용성 리포좀 원료 3~5%)</t>
        </is>
      </c>
      <c r="T111" s="34" t="inlineStr">
        <is>
          <t>재결정 석출 주의</t>
        </is>
      </c>
      <c r="U111" s="34" t="inlineStr">
        <is>
          <t>세라마이드:콜레스테롤:지방산 ≈ 3:1:1이 장벽 지질 비율</t>
        </is>
      </c>
      <c r="V111" s="34" t="inlineStr">
        <is>
          <t>₩30,000~/10g (리포좀 원료는 저렴)</t>
        </is>
      </c>
      <c r="W111" s="37" t="inlineStr">
        <is>
          <t>★★★☆☆</t>
        </is>
      </c>
      <c r="X111" s="34" t="inlineStr">
        <is>
          <t>서늘</t>
        </is>
      </c>
      <c r="Y111" s="34" t="inlineStr">
        <is>
          <t>제한 없음</t>
        </is>
      </c>
      <c r="Z111" s="34" t="inlineStr">
        <is>
          <t>각질층 지질 = 세라마이드·콜레스테롤·지방산</t>
        </is>
      </c>
      <c r="AA111" s="34" t="inlineStr">
        <is>
          <t>판테놀·피토스핑고신</t>
        </is>
      </c>
      <c r="AB111" s="34" t="inlineStr">
        <is>
          <t>장벽 소구 핵심. 순수분말은 다루기 어려움 → 리포좀형 시작</t>
        </is>
      </c>
      <c r="AC111" s="34" t="inlineStr">
        <is>
          <t>(구매 시) '세라마이드(수용성)' 원료 전성분 읽기 — 실제 세라마이드 %는?</t>
        </is>
      </c>
      <c r="AD111" s="34" t="inlineStr">
        <is>
          <t>기본</t>
        </is>
      </c>
      <c r="AE111" s="38" t="n"/>
      <c r="AF111" s="39" t="n"/>
      <c r="AG111" s="38" t="n"/>
    </row>
    <row r="112" ht="92" customHeight="1">
      <c r="A112" s="55" t="n">
        <v>108</v>
      </c>
      <c r="B112" s="56" t="inlineStr">
        <is>
          <t>아데노신</t>
        </is>
      </c>
      <c r="C112" s="34" t="inlineStr">
        <is>
          <t>Adenosine</t>
        </is>
      </c>
      <c r="D112" s="37" t="inlineStr">
        <is>
          <t>–</t>
        </is>
      </c>
      <c r="E112" s="57" t="inlineStr">
        <is>
          <t>활성</t>
        </is>
      </c>
      <c r="F112" s="34" t="inlineStr">
        <is>
          <t>주름 기능성</t>
        </is>
      </c>
      <c r="G112" s="34" t="inlineStr">
        <is>
          <t>발효/합성</t>
        </is>
      </c>
      <c r="H112" s="34" t="inlineStr">
        <is>
          <t>효모 RNA / 합성</t>
        </is>
      </c>
      <c r="I112" s="34" t="inlineStr">
        <is>
          <t>발효·가수분해 → 정제</t>
        </is>
      </c>
      <c r="J112" s="34" t="inlineStr">
        <is>
          <t>뉴클레오사이드</t>
        </is>
      </c>
      <c r="K112" s="34" t="inlineStr">
        <is>
          <t>분말</t>
        </is>
      </c>
      <c r="L112" s="34" t="inlineStr">
        <is>
          <t>백색</t>
        </is>
      </c>
      <c r="M112" s="34" t="inlineStr">
        <is>
          <t>무취</t>
        </is>
      </c>
      <c r="N112" s="34" t="inlineStr">
        <is>
          <t>수용성(약)</t>
        </is>
      </c>
      <c r="O112" s="34" t="inlineStr">
        <is>
          <t>A상</t>
        </is>
      </c>
      <c r="P112" s="34" t="inlineStr">
        <is>
          <t>무감</t>
        </is>
      </c>
      <c r="Q112" s="34" t="inlineStr">
        <is>
          <t>—</t>
        </is>
      </c>
      <c r="R112" s="34" t="inlineStr">
        <is>
          <t>—</t>
        </is>
      </c>
      <c r="S112" s="34" t="inlineStr">
        <is>
          <t>0.04%</t>
        </is>
      </c>
      <c r="T112" s="34" t="inlineStr">
        <is>
          <t>안정</t>
        </is>
      </c>
      <c r="U112" s="34" t="inlineStr">
        <is>
          <t>극미량(0.04%) → 희석액 만들어 계량</t>
        </is>
      </c>
      <c r="V112" s="34" t="inlineStr">
        <is>
          <t>₩15,000/10g</t>
        </is>
      </c>
      <c r="W112" s="37" t="inlineStr">
        <is>
          <t>★★★☆☆</t>
        </is>
      </c>
      <c r="X112" s="34" t="inlineStr">
        <is>
          <t>방습</t>
        </is>
      </c>
      <c r="Y112" s="34" t="inlineStr">
        <is>
          <t>★ 주름 기능성 고시 0.04%</t>
        </is>
      </c>
      <c r="Z112" s="34" t="inlineStr">
        <is>
          <t>★ 주름 고시: 아데노신 0.04%·레티놀 2,500IU/g·레티닐팔미테이트 10,000IU/g</t>
        </is>
      </c>
      <c r="AA112" s="34" t="inlineStr">
        <is>
          <t>레티놀·펩타이드</t>
        </is>
      </c>
      <c r="AB112" s="34" t="inlineStr">
        <is>
          <t>주름 기능성 보고 가장 쉬운 성분</t>
        </is>
      </c>
      <c r="AC112" s="34" t="inlineStr">
        <is>
          <t>0.04% 계량 시뮬레이션: 100g 배치에 0.04g → 1% 희석액 4g 쓰는 법</t>
        </is>
      </c>
      <c r="AD112" s="34" t="inlineStr">
        <is>
          <t>기본</t>
        </is>
      </c>
      <c r="AE112" s="38" t="n"/>
      <c r="AF112" s="39" t="n"/>
      <c r="AG112" s="38" t="n"/>
    </row>
    <row r="113" ht="92" customHeight="1">
      <c r="A113" s="55" t="n">
        <v>109</v>
      </c>
      <c r="B113" s="56" t="inlineStr">
        <is>
          <t>알부틴</t>
        </is>
      </c>
      <c r="C113" s="34" t="inlineStr">
        <is>
          <t>Arbutin</t>
        </is>
      </c>
      <c r="D113" s="37" t="inlineStr">
        <is>
          <t>–</t>
        </is>
      </c>
      <c r="E113" s="57" t="inlineStr">
        <is>
          <t>활성</t>
        </is>
      </c>
      <c r="F113" s="34" t="inlineStr">
        <is>
          <t>미백 기능성</t>
        </is>
      </c>
      <c r="G113" s="34" t="inlineStr">
        <is>
          <t>합성/효소</t>
        </is>
      </c>
      <c r="H113" s="34" t="inlineStr">
        <is>
          <t>하이드로퀴논 + 포도당(원래 베어베리)</t>
        </is>
      </c>
      <c r="I113" s="34" t="inlineStr">
        <is>
          <t>효소/합성 → 결정화</t>
        </is>
      </c>
      <c r="J113" s="34" t="inlineStr">
        <is>
          <t>하이드로퀴논 배당체</t>
        </is>
      </c>
      <c r="K113" s="34" t="inlineStr">
        <is>
          <t>분말</t>
        </is>
      </c>
      <c r="L113" s="34" t="inlineStr">
        <is>
          <t>백색</t>
        </is>
      </c>
      <c r="M113" s="34" t="inlineStr">
        <is>
          <t>무취</t>
        </is>
      </c>
      <c r="N113" s="34" t="inlineStr">
        <is>
          <t>수용성</t>
        </is>
      </c>
      <c r="O113" s="34" t="inlineStr">
        <is>
          <t>냉각상</t>
        </is>
      </c>
      <c r="P113" s="34" t="inlineStr">
        <is>
          <t>무감</t>
        </is>
      </c>
      <c r="Q113" s="34" t="inlineStr">
        <is>
          <t>—</t>
        </is>
      </c>
      <c r="R113" s="34" t="inlineStr">
        <is>
          <t>—</t>
        </is>
      </c>
      <c r="S113" s="34" t="inlineStr">
        <is>
          <t>2~5%</t>
        </is>
      </c>
      <c r="T113" s="34" t="inlineStr">
        <is>
          <t>pH 5~7, 열·저pH에서 하이드로퀴논 분해</t>
        </is>
      </c>
      <c r="U113" s="34" t="inlineStr">
        <is>
          <t>하이드로퀴논(사용금지 원료) 검출 위험 → pH·열 관리</t>
        </is>
      </c>
      <c r="V113" s="34" t="inlineStr">
        <is>
          <t>₩15,000/50g</t>
        </is>
      </c>
      <c r="W113" s="37" t="inlineStr">
        <is>
          <t>★★★☆☆</t>
        </is>
      </c>
      <c r="X113" s="34" t="inlineStr">
        <is>
          <t>방습·차광</t>
        </is>
      </c>
      <c r="Y113" s="34" t="inlineStr">
        <is>
          <t>★ 미백 기능성 고시 2~5%</t>
        </is>
      </c>
      <c r="Z113" s="34" t="inlineStr">
        <is>
          <t>★ 미백 고시 성분 암기 (알부틴 2~5%)</t>
        </is>
      </c>
      <c r="AA113" s="34" t="inlineStr">
        <is>
          <t>나이아신아마이드·아스코빌글루코사이드</t>
        </is>
      </c>
      <c r="AB113" s="34" t="inlineStr">
        <is>
          <t>미백 보고용 고전. 분해 관리가 관건</t>
        </is>
      </c>
      <c r="AC113" s="34" t="inlineStr">
        <is>
          <t>—</t>
        </is>
      </c>
      <c r="AD113" s="34" t="inlineStr">
        <is>
          <t>기본</t>
        </is>
      </c>
      <c r="AE113" s="38" t="n"/>
      <c r="AF113" s="39" t="n"/>
      <c r="AG113" s="38" t="n"/>
    </row>
    <row r="114" ht="92" customHeight="1">
      <c r="A114" s="55" t="n">
        <v>110</v>
      </c>
      <c r="B114" s="56" t="inlineStr">
        <is>
          <t>아스코빌글루코사이드</t>
        </is>
      </c>
      <c r="C114" s="34" t="inlineStr">
        <is>
          <t>Ascorbyl Glucoside</t>
        </is>
      </c>
      <c r="D114" s="37" t="inlineStr">
        <is>
          <t>–</t>
        </is>
      </c>
      <c r="E114" s="57" t="inlineStr">
        <is>
          <t>활성</t>
        </is>
      </c>
      <c r="F114" s="34" t="inlineStr">
        <is>
          <t>미백·비타민C 유도체</t>
        </is>
      </c>
      <c r="G114" s="34" t="inlineStr">
        <is>
          <t>발효/효소</t>
        </is>
      </c>
      <c r="H114" s="34" t="inlineStr">
        <is>
          <t>비타민C + 전분 포도당</t>
        </is>
      </c>
      <c r="I114" s="34" t="inlineStr">
        <is>
          <t>효소 전환(AA2G)</t>
        </is>
      </c>
      <c r="J114" s="34" t="inlineStr">
        <is>
          <t>비타민C 배당체</t>
        </is>
      </c>
      <c r="K114" s="34" t="inlineStr">
        <is>
          <t>분말</t>
        </is>
      </c>
      <c r="L114" s="34" t="inlineStr">
        <is>
          <t>백색</t>
        </is>
      </c>
      <c r="M114" s="34" t="inlineStr">
        <is>
          <t>무취</t>
        </is>
      </c>
      <c r="N114" s="34" t="inlineStr">
        <is>
          <t>수용성(녹이면 산성)</t>
        </is>
      </c>
      <c r="O114" s="34" t="inlineStr">
        <is>
          <t>냉각상</t>
        </is>
      </c>
      <c r="P114" s="34" t="inlineStr">
        <is>
          <t>무감</t>
        </is>
      </c>
      <c r="Q114" s="34" t="inlineStr">
        <is>
          <t>—</t>
        </is>
      </c>
      <c r="R114" s="34" t="inlineStr">
        <is>
          <t>—</t>
        </is>
      </c>
      <c r="S114" s="34" t="inlineStr">
        <is>
          <t>2%</t>
        </is>
      </c>
      <c r="T114" s="34" t="inlineStr">
        <is>
          <t>안정형이지만 pH 5~7 맞춰야</t>
        </is>
      </c>
      <c r="U114" s="34" t="inlineStr">
        <is>
          <t>녹이면 pH↓ → 트로메타민/소듐시트레이트로 보정</t>
        </is>
      </c>
      <c r="V114" s="34" t="inlineStr">
        <is>
          <t>₩20,000/50g</t>
        </is>
      </c>
      <c r="W114" s="37" t="inlineStr">
        <is>
          <t>★★★☆☆</t>
        </is>
      </c>
      <c r="X114" s="34" t="inlineStr">
        <is>
          <t>방습</t>
        </is>
      </c>
      <c r="Y114" s="34" t="inlineStr">
        <is>
          <t>★ 미백 기능성 고시 2%</t>
        </is>
      </c>
      <c r="Z114" s="34" t="inlineStr">
        <is>
          <t>미백 고시: 아스코빌글루코사이드 2%, MAP 3%, 에칠아스코빌에텔 1~2%</t>
        </is>
      </c>
      <c r="AA114" s="34" t="inlineStr">
        <is>
          <t>순수 비타민C·MAP</t>
        </is>
      </c>
      <c r="AB114" s="34" t="inlineStr">
        <is>
          <t>순수 C(불안정)의 안정 대체</t>
        </is>
      </c>
      <c r="AC114" s="34" t="inlineStr">
        <is>
          <t>—</t>
        </is>
      </c>
      <c r="AD114" s="34" t="inlineStr">
        <is>
          <t>기본</t>
        </is>
      </c>
      <c r="AE114" s="38" t="n"/>
      <c r="AF114" s="39" t="n"/>
      <c r="AG114" s="38" t="n"/>
    </row>
    <row r="115" ht="92" customHeight="1">
      <c r="A115" s="55" t="n">
        <v>111</v>
      </c>
      <c r="B115" s="56" t="inlineStr">
        <is>
          <t>엑토인</t>
        </is>
      </c>
      <c r="C115" s="34" t="inlineStr">
        <is>
          <t>Ectoine</t>
        </is>
      </c>
      <c r="D115" s="37" t="inlineStr">
        <is>
          <t>–</t>
        </is>
      </c>
      <c r="E115" s="57" t="inlineStr">
        <is>
          <t>활성</t>
        </is>
      </c>
      <c r="F115" s="34" t="inlineStr">
        <is>
          <t>스트레스 보호·보습</t>
        </is>
      </c>
      <c r="G115" s="34" t="inlineStr">
        <is>
          <t>발효</t>
        </is>
      </c>
      <c r="H115" s="34" t="inlineStr">
        <is>
          <t>극한미생물(Halomonas)</t>
        </is>
      </c>
      <c r="I115" s="34" t="inlineStr">
        <is>
          <t>박테리아 '밀킹' 발효 → 정제</t>
        </is>
      </c>
      <c r="J115" s="34" t="inlineStr">
        <is>
          <t>아미노산 유도체</t>
        </is>
      </c>
      <c r="K115" s="34" t="inlineStr">
        <is>
          <t>분말</t>
        </is>
      </c>
      <c r="L115" s="34" t="inlineStr">
        <is>
          <t>백색</t>
        </is>
      </c>
      <c r="M115" s="34" t="inlineStr">
        <is>
          <t>무취</t>
        </is>
      </c>
      <c r="N115" s="34" t="inlineStr">
        <is>
          <t>수용성</t>
        </is>
      </c>
      <c r="O115" s="34" t="inlineStr">
        <is>
          <t>냉각상</t>
        </is>
      </c>
      <c r="P115" s="34" t="inlineStr">
        <is>
          <t>무감·촉촉</t>
        </is>
      </c>
      <c r="Q115" s="34" t="inlineStr">
        <is>
          <t>—</t>
        </is>
      </c>
      <c r="R115" s="34" t="inlineStr">
        <is>
          <t>—</t>
        </is>
      </c>
      <c r="S115" s="34" t="inlineStr">
        <is>
          <t>0.3~2%</t>
        </is>
      </c>
      <c r="T115" s="34" t="inlineStr">
        <is>
          <t>안정</t>
        </is>
      </c>
      <c r="U115" s="34" t="inlineStr">
        <is>
          <t>고가</t>
        </is>
      </c>
      <c r="V115" s="34" t="inlineStr">
        <is>
          <t>₩50,000~/10g</t>
        </is>
      </c>
      <c r="W115" s="37" t="inlineStr">
        <is>
          <t>★★☆☆☆</t>
        </is>
      </c>
      <c r="X115" s="34" t="inlineStr">
        <is>
          <t>방습</t>
        </is>
      </c>
      <c r="Y115" s="34" t="inlineStr">
        <is>
          <t>제한 없음</t>
        </is>
      </c>
      <c r="Z115" s="34" t="inlineStr">
        <is>
          <t>—</t>
        </is>
      </c>
      <c r="AA115" s="34" t="inlineStr">
        <is>
          <t>판테놀·베타인</t>
        </is>
      </c>
      <c r="AB115" s="34" t="inlineStr">
        <is>
          <t>프리미엄 진정 소구</t>
        </is>
      </c>
      <c r="AC115" s="34" t="inlineStr">
        <is>
          <t>—</t>
        </is>
      </c>
      <c r="AD115" s="34" t="inlineStr">
        <is>
          <t>기본</t>
        </is>
      </c>
      <c r="AE115" s="38" t="n"/>
      <c r="AF115" s="39" t="n"/>
      <c r="AG115" s="38" t="n"/>
    </row>
    <row r="116" ht="92" customHeight="1">
      <c r="A116" s="55" t="n">
        <v>112</v>
      </c>
      <c r="B116" s="56" t="inlineStr">
        <is>
          <t>디포타슘글리시리제이트</t>
        </is>
      </c>
      <c r="C116" s="34" t="inlineStr">
        <is>
          <t>Dipotassium Glycyrrhizate</t>
        </is>
      </c>
      <c r="D116" s="37" t="inlineStr">
        <is>
          <t>–</t>
        </is>
      </c>
      <c r="E116" s="57" t="inlineStr">
        <is>
          <t>활성</t>
        </is>
      </c>
      <c r="F116" s="34" t="inlineStr">
        <is>
          <t>진정</t>
        </is>
      </c>
      <c r="G116" s="34" t="inlineStr">
        <is>
          <t>식물</t>
        </is>
      </c>
      <c r="H116" s="34" t="inlineStr">
        <is>
          <t>감초 뿌리</t>
        </is>
      </c>
      <c r="I116" s="34" t="inlineStr">
        <is>
          <t>글리시리진 추출 → 칼륨염</t>
        </is>
      </c>
      <c r="J116" s="34" t="inlineStr">
        <is>
          <t>트리테르펜 사포닌 염</t>
        </is>
      </c>
      <c r="K116" s="34" t="inlineStr">
        <is>
          <t>분말</t>
        </is>
      </c>
      <c r="L116" s="34" t="inlineStr">
        <is>
          <t>백색~미황</t>
        </is>
      </c>
      <c r="M116" s="34" t="inlineStr">
        <is>
          <t>약한 단맛</t>
        </is>
      </c>
      <c r="N116" s="34" t="inlineStr">
        <is>
          <t>수용성</t>
        </is>
      </c>
      <c r="O116" s="34" t="inlineStr">
        <is>
          <t>A상 or 냉각상</t>
        </is>
      </c>
      <c r="P116" s="34" t="inlineStr">
        <is>
          <t>무감</t>
        </is>
      </c>
      <c r="Q116" s="34" t="inlineStr">
        <is>
          <t>—</t>
        </is>
      </c>
      <c r="R116" s="34" t="inlineStr">
        <is>
          <t>—</t>
        </is>
      </c>
      <c r="S116" s="34" t="inlineStr">
        <is>
          <t>0.1~0.5%</t>
        </is>
      </c>
      <c r="T116" s="34" t="inlineStr">
        <is>
          <t>pH 4~7</t>
        </is>
      </c>
      <c r="U116" s="34" t="inlineStr">
        <is>
          <t>소량으로 진정 소구</t>
        </is>
      </c>
      <c r="V116" s="34" t="inlineStr">
        <is>
          <t>₩20,000/20g</t>
        </is>
      </c>
      <c r="W116" s="37" t="inlineStr">
        <is>
          <t>★★★☆☆</t>
        </is>
      </c>
      <c r="X116" s="34" t="inlineStr">
        <is>
          <t>방습</t>
        </is>
      </c>
      <c r="Y116" s="34" t="inlineStr">
        <is>
          <t>제한 없음 (유용성감초추출물은 미백 고시 0.05%로 별개)</t>
        </is>
      </c>
      <c r="Z116" s="34" t="inlineStr">
        <is>
          <t>감초: 수용성 디포타슘 vs 유용성 감초추출물(미백) 구분</t>
        </is>
      </c>
      <c r="AA116" s="34" t="inlineStr">
        <is>
          <t>알란토인·병풀</t>
        </is>
      </c>
      <c r="AB116" s="34" t="inlineStr">
        <is>
          <t>저자극 진정 보조</t>
        </is>
      </c>
      <c r="AC116" s="34" t="inlineStr">
        <is>
          <t>—</t>
        </is>
      </c>
      <c r="AD116" s="34" t="inlineStr">
        <is>
          <t>기본</t>
        </is>
      </c>
      <c r="AE116" s="38" t="n"/>
      <c r="AF116" s="39" t="n"/>
      <c r="AG116" s="38" t="n"/>
    </row>
    <row r="117" ht="92" customHeight="1">
      <c r="A117" s="55" t="n">
        <v>113</v>
      </c>
      <c r="B117" s="56" t="inlineStr">
        <is>
          <t>알파-비사보롤</t>
        </is>
      </c>
      <c r="C117" s="34" t="inlineStr">
        <is>
          <t>alpha-Bisabolol</t>
        </is>
      </c>
      <c r="D117" s="37" t="inlineStr">
        <is>
          <t>–</t>
        </is>
      </c>
      <c r="E117" s="57" t="inlineStr">
        <is>
          <t>활성</t>
        </is>
      </c>
      <c r="F117" s="34" t="inlineStr">
        <is>
          <t>진정·미백 기능성</t>
        </is>
      </c>
      <c r="G117" s="34" t="inlineStr">
        <is>
          <t>식물/합성</t>
        </is>
      </c>
      <c r="H117" s="34" t="inlineStr">
        <is>
          <t>칸데이아 나무 정유(원래 캐모마일) / 합성</t>
        </is>
      </c>
      <c r="I117" s="34" t="inlineStr">
        <is>
          <t>수증기 증류 → 분별 정제</t>
        </is>
      </c>
      <c r="J117" s="34" t="inlineStr">
        <is>
          <t>세스퀴테르펜 알코올</t>
        </is>
      </c>
      <c r="K117" s="34" t="inlineStr">
        <is>
          <t>점성 액상</t>
        </is>
      </c>
      <c r="L117" s="34" t="inlineStr">
        <is>
          <t>무색~미황</t>
        </is>
      </c>
      <c r="M117" s="34" t="inlineStr">
        <is>
          <t>약한 꽃향</t>
        </is>
      </c>
      <c r="N117" s="34" t="inlineStr">
        <is>
          <t>유용성</t>
        </is>
      </c>
      <c r="O117" s="34" t="inlineStr">
        <is>
          <t>B상 or 냉각상</t>
        </is>
      </c>
      <c r="P117" s="34" t="inlineStr">
        <is>
          <t>무감</t>
        </is>
      </c>
      <c r="Q117" s="34" t="inlineStr">
        <is>
          <t>—</t>
        </is>
      </c>
      <c r="R117" s="34" t="inlineStr">
        <is>
          <t>—</t>
        </is>
      </c>
      <c r="S117" s="34" t="inlineStr">
        <is>
          <t>0.1~0.5%</t>
        </is>
      </c>
      <c r="T117" s="34" t="inlineStr">
        <is>
          <t>안정</t>
        </is>
      </c>
      <c r="U117" s="34" t="inlineStr">
        <is>
          <t>오일상에 녹임</t>
        </is>
      </c>
      <c r="V117" s="34" t="inlineStr">
        <is>
          <t>₩20,000/20ml</t>
        </is>
      </c>
      <c r="W117" s="37" t="inlineStr">
        <is>
          <t>★★☆☆☆</t>
        </is>
      </c>
      <c r="X117" s="34" t="inlineStr">
        <is>
          <t>서늘</t>
        </is>
      </c>
      <c r="Y117" s="34" t="inlineStr">
        <is>
          <t>★ 미백 기능성 고시 0.5%</t>
        </is>
      </c>
      <c r="Z117" s="34" t="inlineStr">
        <is>
          <t>미백 고시 성분 중 '유용성' 예</t>
        </is>
      </c>
      <c r="AA117" s="34" t="inlineStr">
        <is>
          <t>판테놀</t>
        </is>
      </c>
      <c r="AB117" s="34" t="inlineStr">
        <is>
          <t>오일형 진정 성분</t>
        </is>
      </c>
      <c r="AC117" s="34" t="inlineStr">
        <is>
          <t>—</t>
        </is>
      </c>
      <c r="AD117" s="34" t="inlineStr">
        <is>
          <t>기본</t>
        </is>
      </c>
      <c r="AE117" s="38" t="n"/>
      <c r="AF117" s="39" t="n"/>
      <c r="AG117" s="38" t="n"/>
    </row>
    <row r="118" ht="92" customHeight="1">
      <c r="A118" s="55" t="n">
        <v>114</v>
      </c>
      <c r="B118" s="56" t="inlineStr">
        <is>
          <t>살리실산(BHA)</t>
        </is>
      </c>
      <c r="C118" s="34" t="inlineStr">
        <is>
          <t>Salicylic Acid</t>
        </is>
      </c>
      <c r="D118" s="37" t="inlineStr">
        <is>
          <t>–</t>
        </is>
      </c>
      <c r="E118" s="57" t="inlineStr">
        <is>
          <t>활성</t>
        </is>
      </c>
      <c r="F118" s="34" t="inlineStr">
        <is>
          <t>각질·피지(BHA)</t>
        </is>
      </c>
      <c r="G118" s="34" t="inlineStr">
        <is>
          <t>합성</t>
        </is>
      </c>
      <c r="H118" s="34" t="inlineStr">
        <is>
          <t>페놀 + CO₂ (원래 버드나무 껍질)</t>
        </is>
      </c>
      <c r="I118" s="34" t="inlineStr">
        <is>
          <t>콜베 반응 합성 → 결정</t>
        </is>
      </c>
      <c r="J118" s="34" t="inlineStr">
        <is>
          <t>베타하이드록시산</t>
        </is>
      </c>
      <c r="K118" s="34" t="inlineStr">
        <is>
          <t>결정 분말</t>
        </is>
      </c>
      <c r="L118" s="34" t="inlineStr">
        <is>
          <t>백색</t>
        </is>
      </c>
      <c r="M118" s="34" t="inlineStr">
        <is>
          <t>무취</t>
        </is>
      </c>
      <c r="N118" s="34" t="inlineStr">
        <is>
          <t>물에 거의 안 녹음 → BG·에탄올</t>
        </is>
      </c>
      <c r="O118" s="34" t="inlineStr">
        <is>
          <t>냉각상, 용제에 먼저 녹임</t>
        </is>
      </c>
      <c r="P118" s="34" t="inlineStr">
        <is>
          <t>무감, 고%면 따가움</t>
        </is>
      </c>
      <c r="Q118" s="34" t="inlineStr">
        <is>
          <t>—</t>
        </is>
      </c>
      <c r="R118" s="34" t="inlineStr">
        <is>
          <t>—</t>
        </is>
      </c>
      <c r="S118" s="34" t="inlineStr">
        <is>
          <t>0.5%</t>
        </is>
      </c>
      <c r="T118" s="34" t="inlineStr">
        <is>
          <t>pH 3~4에서 효과, 물에 석출 쉬움</t>
        </is>
      </c>
      <c r="U118" s="34" t="inlineStr">
        <is>
          <t>프로판디올/BG에 녹여 넣기</t>
        </is>
      </c>
      <c r="V118" s="34" t="inlineStr">
        <is>
          <t>₩5,000/50g</t>
        </is>
      </c>
      <c r="W118" s="37" t="inlineStr">
        <is>
          <t>★★★☆☆</t>
        </is>
      </c>
      <c r="X118" s="34" t="inlineStr">
        <is>
          <t>방습</t>
        </is>
      </c>
      <c r="Y118" s="34" t="inlineStr">
        <is>
          <t>★ 보존제 0.5% (영유아·만13세 이하 표시 제품 금지, 샴푸 제외) / 여드름 기능성(씻어내는 제품) 0.5%</t>
        </is>
      </c>
      <c r="Z118" s="34" t="inlineStr">
        <is>
          <t>★ 보존제·기능성 둘 다 등장 — 빈출</t>
        </is>
      </c>
      <c r="AA118" s="34" t="inlineStr">
        <is>
          <t>글루코노락톤·아젤라익애씨드</t>
        </is>
      </c>
      <c r="AB118" s="34" t="inlineStr">
        <is>
          <t>효과 vs 규제 둘 다 공부할 대표 원료</t>
        </is>
      </c>
      <c r="AC118" s="34" t="inlineStr">
        <is>
          <t>프로판디올 10g에 0.5g 녹는지 → 물에 넣으면 뿌옇게 석출되는지</t>
        </is>
      </c>
      <c r="AD118" s="34" t="inlineStr">
        <is>
          <t>기본</t>
        </is>
      </c>
      <c r="AE118" s="38" t="n"/>
      <c r="AF118" s="39" t="n"/>
      <c r="AG118" s="38" t="n"/>
    </row>
    <row r="119" ht="92" customHeight="1">
      <c r="A119" s="55" t="n">
        <v>115</v>
      </c>
      <c r="B119" s="56" t="inlineStr">
        <is>
          <t>글루코노락톤(PHA)</t>
        </is>
      </c>
      <c r="C119" s="34" t="inlineStr">
        <is>
          <t>Gluconolactone</t>
        </is>
      </c>
      <c r="D119" s="37" t="inlineStr">
        <is>
          <t>–</t>
        </is>
      </c>
      <c r="E119" s="57" t="inlineStr">
        <is>
          <t>활성</t>
        </is>
      </c>
      <c r="F119" s="34" t="inlineStr">
        <is>
          <t>순한 각질·보습·킬레이트</t>
        </is>
      </c>
      <c r="G119" s="34" t="inlineStr">
        <is>
          <t>발효</t>
        </is>
      </c>
      <c r="H119" s="34" t="inlineStr">
        <is>
          <t>포도당</t>
        </is>
      </c>
      <c r="I119" s="34" t="inlineStr">
        <is>
          <t>포도당 산화 발효 → 글루콘산 → 락톤</t>
        </is>
      </c>
      <c r="J119" s="34" t="inlineStr">
        <is>
          <t>폴리하이드록시산</t>
        </is>
      </c>
      <c r="K119" s="34" t="inlineStr">
        <is>
          <t>결정 분말</t>
        </is>
      </c>
      <c r="L119" s="34" t="inlineStr">
        <is>
          <t>백색</t>
        </is>
      </c>
      <c r="M119" s="34" t="inlineStr">
        <is>
          <t>무취</t>
        </is>
      </c>
      <c r="N119" s="34" t="inlineStr">
        <is>
          <t>수용성(시간 지나며 산성화)</t>
        </is>
      </c>
      <c r="O119" s="34" t="inlineStr">
        <is>
          <t>냉각상</t>
        </is>
      </c>
      <c r="P119" s="34" t="inlineStr">
        <is>
          <t>순함</t>
        </is>
      </c>
      <c r="Q119" s="34" t="inlineStr">
        <is>
          <t>—</t>
        </is>
      </c>
      <c r="R119" s="34" t="inlineStr">
        <is>
          <t>—</t>
        </is>
      </c>
      <c r="S119" s="34" t="inlineStr">
        <is>
          <t>2~10%</t>
        </is>
      </c>
      <c r="T119" s="34" t="inlineStr">
        <is>
          <t>녹이면 서서히 pH↓ → 버퍼 필수</t>
        </is>
      </c>
      <c r="U119" s="34" t="inlineStr">
        <is>
          <t>AHA보다 순함. 고%면 pH 관리</t>
        </is>
      </c>
      <c r="V119" s="34" t="inlineStr">
        <is>
          <t>₩10,000/100g</t>
        </is>
      </c>
      <c r="W119" s="37" t="inlineStr">
        <is>
          <t>★★☆☆☆</t>
        </is>
      </c>
      <c r="X119" s="34" t="inlineStr">
        <is>
          <t>방습</t>
        </is>
      </c>
      <c r="Y119" s="34" t="inlineStr">
        <is>
          <t>AHA 개념 표시 주의(고시 확인)</t>
        </is>
      </c>
      <c r="Z119" s="34" t="inlineStr">
        <is>
          <t>AHA·BHA·PHA 구분</t>
        </is>
      </c>
      <c r="AA119" s="34" t="inlineStr">
        <is>
          <t>락틱애씨드·만델릭애씨드</t>
        </is>
      </c>
      <c r="AB119" s="34" t="inlineStr">
        <is>
          <t>민감 피부 각질 케어</t>
        </is>
      </c>
      <c r="AC119" s="34" t="inlineStr">
        <is>
          <t>—</t>
        </is>
      </c>
      <c r="AD119" s="34" t="inlineStr">
        <is>
          <t>기본</t>
        </is>
      </c>
      <c r="AE119" s="38" t="n"/>
      <c r="AF119" s="39" t="n"/>
      <c r="AG119" s="38" t="n"/>
    </row>
    <row r="120" ht="92" customHeight="1">
      <c r="A120" s="55" t="n">
        <v>116</v>
      </c>
      <c r="B120" s="56" t="inlineStr">
        <is>
          <t>알로에베라겔</t>
        </is>
      </c>
      <c r="C120" s="34" t="inlineStr">
        <is>
          <t>Aloe Barbadensis Leaf Juice/Extract</t>
        </is>
      </c>
      <c r="D120" s="37" t="inlineStr">
        <is>
          <t>–</t>
        </is>
      </c>
      <c r="E120" s="57" t="inlineStr">
        <is>
          <t>활성</t>
        </is>
      </c>
      <c r="F120" s="34" t="inlineStr">
        <is>
          <t>진정 이미지·수상 대체</t>
        </is>
      </c>
      <c r="G120" s="34" t="inlineStr">
        <is>
          <t>식물</t>
        </is>
      </c>
      <c r="H120" s="34" t="inlineStr">
        <is>
          <t>알로에 잎</t>
        </is>
      </c>
      <c r="I120" s="34" t="inlineStr">
        <is>
          <t>잎 겔 분리 → 여과 → (점증제+방부제 첨가된 겔 원료)</t>
        </is>
      </c>
      <c r="J120" s="34" t="inlineStr">
        <is>
          <t>다당류·수분</t>
        </is>
      </c>
      <c r="K120" s="34" t="inlineStr">
        <is>
          <t>젤</t>
        </is>
      </c>
      <c r="L120" s="34" t="inlineStr">
        <is>
          <t>무색~미황</t>
        </is>
      </c>
      <c r="M120" s="34" t="inlineStr">
        <is>
          <t>약한 풀내</t>
        </is>
      </c>
      <c r="N120" s="34" t="inlineStr">
        <is>
          <t>수용성</t>
        </is>
      </c>
      <c r="O120" s="34" t="inlineStr">
        <is>
          <t>냉각상 or 수상</t>
        </is>
      </c>
      <c r="P120" s="34" t="inlineStr">
        <is>
          <t>산뜻·시원</t>
        </is>
      </c>
      <c r="Q120" s="34" t="inlineStr">
        <is>
          <t>좋음</t>
        </is>
      </c>
      <c r="R120" s="34" t="inlineStr">
        <is>
          <t>약간 끈적</t>
        </is>
      </c>
      <c r="S120" s="34" t="inlineStr">
        <is>
          <t>10~50%</t>
        </is>
      </c>
      <c r="T120" s="34" t="inlineStr">
        <is>
          <t>미생물·변색</t>
        </is>
      </c>
      <c r="U120" s="34" t="inlineStr">
        <is>
          <t>시판 '겔'은 점증·방부 이미 포함 → 전성분 확인</t>
        </is>
      </c>
      <c r="V120" s="34" t="inlineStr">
        <is>
          <t>₩8,000/250g</t>
        </is>
      </c>
      <c r="W120" s="37" t="inlineStr">
        <is>
          <t>★★★★★</t>
        </is>
      </c>
      <c r="X120" s="34" t="inlineStr">
        <is>
          <t>냉장</t>
        </is>
      </c>
      <c r="Y120" s="34" t="inlineStr">
        <is>
          <t>제한 없음</t>
        </is>
      </c>
      <c r="Z120" s="34" t="inlineStr">
        <is>
          <t>—</t>
        </is>
      </c>
      <c r="AA120" s="34" t="inlineStr">
        <is>
          <t>잔탄 젤·베타글루칸</t>
        </is>
      </c>
      <c r="AB120" s="34" t="inlineStr">
        <is>
          <t>간단 진정 젤. 원료 자체가 '반제품'인 경우 많음</t>
        </is>
      </c>
      <c r="AC120" s="34" t="inlineStr">
        <is>
          <t>알로에겔 원료 전성분 읽기 — 순수 알로에 %는?</t>
        </is>
      </c>
      <c r="AD120" s="34" t="inlineStr">
        <is>
          <t>기본</t>
        </is>
      </c>
      <c r="AE120" s="38" t="n"/>
      <c r="AF120" s="39" t="n"/>
      <c r="AG120" s="38" t="n"/>
    </row>
    <row r="121" ht="92" customHeight="1">
      <c r="A121" s="55" t="n">
        <v>117</v>
      </c>
      <c r="B121" s="56" t="inlineStr">
        <is>
          <t>레티놀</t>
        </is>
      </c>
      <c r="C121" s="34" t="inlineStr">
        <is>
          <t>Retinol</t>
        </is>
      </c>
      <c r="D121" s="37" t="inlineStr">
        <is>
          <t>–</t>
        </is>
      </c>
      <c r="E121" s="57" t="inlineStr">
        <is>
          <t>활성</t>
        </is>
      </c>
      <c r="F121" s="34" t="inlineStr">
        <is>
          <t>주름 기능성</t>
        </is>
      </c>
      <c r="G121" s="34" t="inlineStr">
        <is>
          <t>합성</t>
        </is>
      </c>
      <c r="H121" s="34" t="inlineStr">
        <is>
          <t>합성(비타민 A)</t>
        </is>
      </c>
      <c r="I121" s="34" t="inlineStr">
        <is>
          <t>합성 → 안정화 캡슐·용액(보통 오일 희석 원료)</t>
        </is>
      </c>
      <c r="J121" s="34" t="inlineStr">
        <is>
          <t>레티노이드</t>
        </is>
      </c>
      <c r="K121" s="34" t="inlineStr">
        <is>
          <t>원료액/캡슐</t>
        </is>
      </c>
      <c r="L121" s="34" t="inlineStr">
        <is>
          <t>연황</t>
        </is>
      </c>
      <c r="M121" s="34" t="inlineStr">
        <is>
          <t>약한 특유취</t>
        </is>
      </c>
      <c r="N121" s="34" t="inlineStr">
        <is>
          <t>유용성</t>
        </is>
      </c>
      <c r="O121" s="34" t="inlineStr">
        <is>
          <t>냉각상, 질소·차광 공정</t>
        </is>
      </c>
      <c r="P121" s="34" t="inlineStr">
        <is>
          <t>무감, 고%면 각질·붉어짐(레티노이드 반응)</t>
        </is>
      </c>
      <c r="Q121" s="34" t="inlineStr">
        <is>
          <t>—</t>
        </is>
      </c>
      <c r="R121" s="34" t="inlineStr">
        <is>
          <t>—</t>
        </is>
      </c>
      <c r="S121" s="34" t="inlineStr">
        <is>
          <t>0.1~1%(원료액 기준 상이)</t>
        </is>
      </c>
      <c r="T121" s="34" t="inlineStr">
        <is>
          <t>★ 빛·열·산소에 극히 불안정</t>
        </is>
      </c>
      <c r="U121" s="34" t="inlineStr">
        <is>
          <t>항산화(토코페롤·BHT)·에어리스 용기 필수. 임산부·낮 사용 주의 표기</t>
        </is>
      </c>
      <c r="V121" s="34" t="inlineStr">
        <is>
          <t>₩30,000~/10g</t>
        </is>
      </c>
      <c r="W121" s="37" t="inlineStr">
        <is>
          <t>★★☆☆☆</t>
        </is>
      </c>
      <c r="X121" s="34" t="inlineStr">
        <is>
          <t>냉장·차광·밀봉</t>
        </is>
      </c>
      <c r="Y121" s="34" t="inlineStr">
        <is>
          <t>★ 주름 기능성 고시 2,500IU/g / EU: 얼굴 0.3% RE·바디 0.05% RE 제한(신규 2025.11~)</t>
        </is>
      </c>
      <c r="Z121" s="34" t="inlineStr">
        <is>
          <t>★ 주름 고시: 레티놀 2,500IU/g</t>
        </is>
      </c>
      <c r="AA121" s="34" t="inlineStr">
        <is>
          <t>레티닐팔미테이트·바쿠치올·아데노신</t>
        </is>
      </c>
      <c r="AB121" s="34" t="inlineStr">
        <is>
          <t>효과 최강·관리 최난. 1인 브랜드는 OEM 영역</t>
        </is>
      </c>
      <c r="AC121" s="34" t="inlineStr">
        <is>
          <t>—</t>
        </is>
      </c>
      <c r="AD121" s="34" t="inlineStr">
        <is>
          <t>도감 기능성</t>
        </is>
      </c>
      <c r="AE121" s="38" t="n"/>
      <c r="AF121" s="39" t="n"/>
      <c r="AG121" s="38" t="n"/>
    </row>
    <row r="122" ht="92" customHeight="1">
      <c r="A122" s="55" t="n">
        <v>118</v>
      </c>
      <c r="B122" s="56" t="inlineStr">
        <is>
          <t>레티닐팔미테이트</t>
        </is>
      </c>
      <c r="C122" s="34" t="inlineStr">
        <is>
          <t>Retinyl Palmitate</t>
        </is>
      </c>
      <c r="D122" s="37" t="inlineStr">
        <is>
          <t>–</t>
        </is>
      </c>
      <c r="E122" s="57" t="inlineStr">
        <is>
          <t>활성</t>
        </is>
      </c>
      <c r="F122" s="34" t="inlineStr">
        <is>
          <t>주름 기능성(순한 레티노이드)</t>
        </is>
      </c>
      <c r="G122" s="34" t="inlineStr">
        <is>
          <t>합성</t>
        </is>
      </c>
      <c r="H122" s="34" t="inlineStr">
        <is>
          <t>레티놀 + 팔미트산</t>
        </is>
      </c>
      <c r="I122" s="34" t="inlineStr">
        <is>
          <t>에스터화</t>
        </is>
      </c>
      <c r="J122" s="34" t="inlineStr">
        <is>
          <t>레티노이드 에스터</t>
        </is>
      </c>
      <c r="K122" s="34" t="inlineStr">
        <is>
          <t>점성 액</t>
        </is>
      </c>
      <c r="L122" s="34" t="inlineStr">
        <is>
          <t>연황</t>
        </is>
      </c>
      <c r="M122" s="34" t="inlineStr">
        <is>
          <t>약한 냄새</t>
        </is>
      </c>
      <c r="N122" s="34" t="inlineStr">
        <is>
          <t>유용성</t>
        </is>
      </c>
      <c r="O122" s="34" t="inlineStr">
        <is>
          <t>냉각상</t>
        </is>
      </c>
      <c r="P122" s="34" t="inlineStr">
        <is>
          <t>무감</t>
        </is>
      </c>
      <c r="Q122" s="34" t="inlineStr">
        <is>
          <t>—</t>
        </is>
      </c>
      <c r="R122" s="34" t="inlineStr">
        <is>
          <t>—</t>
        </is>
      </c>
      <c r="S122" s="34" t="inlineStr">
        <is>
          <t>고시 10,000IU/g</t>
        </is>
      </c>
      <c r="T122" s="34" t="inlineStr">
        <is>
          <t>레티놀보다 안정, 여전히 빛 취약</t>
        </is>
      </c>
      <c r="U122" s="34" t="inlineStr">
        <is>
          <t>효과는 레티놀보다 약함</t>
        </is>
      </c>
      <c r="V122" s="34" t="inlineStr">
        <is>
          <t>₩20,000/20g</t>
        </is>
      </c>
      <c r="W122" s="37" t="inlineStr">
        <is>
          <t>★★☆☆☆</t>
        </is>
      </c>
      <c r="X122" s="34" t="inlineStr">
        <is>
          <t>냉장·차광</t>
        </is>
      </c>
      <c r="Y122" s="34" t="inlineStr">
        <is>
          <t>★ 주름 기능성 고시 10,000IU/g</t>
        </is>
      </c>
      <c r="Z122" s="34" t="inlineStr">
        <is>
          <t>★ 주름 고시 성분</t>
        </is>
      </c>
      <c r="AA122" s="34" t="inlineStr">
        <is>
          <t>레티놀·아데노신</t>
        </is>
      </c>
      <c r="AB122" s="34" t="inlineStr">
        <is>
          <t>순하지만 약한 레티노이드</t>
        </is>
      </c>
      <c r="AC122" s="34" t="inlineStr">
        <is>
          <t>—</t>
        </is>
      </c>
      <c r="AD122" s="34" t="inlineStr">
        <is>
          <t>도감 기능성</t>
        </is>
      </c>
      <c r="AE122" s="38" t="n"/>
      <c r="AF122" s="39" t="n"/>
      <c r="AG122" s="38" t="n"/>
    </row>
    <row r="123" ht="92" customHeight="1">
      <c r="A123" s="55" t="n">
        <v>119</v>
      </c>
      <c r="B123" s="56" t="inlineStr">
        <is>
          <t>바쿠치올</t>
        </is>
      </c>
      <c r="C123" s="34" t="inlineStr">
        <is>
          <t>Bakuchiol</t>
        </is>
      </c>
      <c r="D123" s="37" t="inlineStr">
        <is>
          <t>–</t>
        </is>
      </c>
      <c r="E123" s="57" t="inlineStr">
        <is>
          <t>활성</t>
        </is>
      </c>
      <c r="F123" s="34" t="inlineStr">
        <is>
          <t>레티놀 대안 이미지</t>
        </is>
      </c>
      <c r="G123" s="34" t="inlineStr">
        <is>
          <t>식물</t>
        </is>
      </c>
      <c r="H123" s="34" t="inlineStr">
        <is>
          <t>보골지(Psoralea corylifolia) 씨</t>
        </is>
      </c>
      <c r="I123" s="34" t="inlineStr">
        <is>
          <t>용매 추출 → 정제</t>
        </is>
      </c>
      <c r="J123" s="34" t="inlineStr">
        <is>
          <t>메로테르펜 페놀</t>
        </is>
      </c>
      <c r="K123" s="34" t="inlineStr">
        <is>
          <t>점성 액</t>
        </is>
      </c>
      <c r="L123" s="34" t="inlineStr">
        <is>
          <t>황~갈색</t>
        </is>
      </c>
      <c r="M123" s="34" t="inlineStr">
        <is>
          <t>약한 냄새</t>
        </is>
      </c>
      <c r="N123" s="34" t="inlineStr">
        <is>
          <t>유용성</t>
        </is>
      </c>
      <c r="O123" s="34" t="inlineStr">
        <is>
          <t>냉각상</t>
        </is>
      </c>
      <c r="P123" s="34" t="inlineStr">
        <is>
          <t>무감</t>
        </is>
      </c>
      <c r="Q123" s="34" t="inlineStr">
        <is>
          <t>—</t>
        </is>
      </c>
      <c r="R123" s="34" t="inlineStr">
        <is>
          <t>—</t>
        </is>
      </c>
      <c r="S123" s="34" t="inlineStr">
        <is>
          <t>0.5~1%</t>
        </is>
      </c>
      <c r="T123" s="34" t="inlineStr">
        <is>
          <t>레티놀보다 빛 안정</t>
        </is>
      </c>
      <c r="U123" s="34" t="inlineStr">
        <is>
          <t>국내 주름 고시 성분 아님 → '주름 개선' 표방 불가</t>
        </is>
      </c>
      <c r="V123" s="34" t="inlineStr">
        <is>
          <t>₩30,000/10g</t>
        </is>
      </c>
      <c r="W123" s="37" t="inlineStr">
        <is>
          <t>★★☆☆☆</t>
        </is>
      </c>
      <c r="X123" s="34" t="inlineStr">
        <is>
          <t>차광·서늘</t>
        </is>
      </c>
      <c r="Y123" s="34" t="inlineStr">
        <is>
          <t>고시 성분 아님(일반 화장품)</t>
        </is>
      </c>
      <c r="Z123" s="34" t="inlineStr">
        <is>
          <t>기능성 ≠ 유행 성분</t>
        </is>
      </c>
      <c r="AA123" s="34" t="inlineStr">
        <is>
          <t>레티놀·아데노신</t>
        </is>
      </c>
      <c r="AB123" s="34" t="inlineStr">
        <is>
          <t>식물·순함 스토리. 기능성 표방은 아데노신 병용</t>
        </is>
      </c>
      <c r="AC123" s="34" t="inlineStr">
        <is>
          <t>—</t>
        </is>
      </c>
      <c r="AD123" s="34" t="inlineStr">
        <is>
          <t>도감 기능성</t>
        </is>
      </c>
      <c r="AE123" s="38" t="n"/>
      <c r="AF123" s="39" t="n"/>
      <c r="AG123" s="38" t="n"/>
    </row>
    <row r="124" ht="92" customHeight="1">
      <c r="A124" s="55" t="n">
        <v>120</v>
      </c>
      <c r="B124" s="56" t="inlineStr">
        <is>
          <t>매트릭실 3000 (팔미토일 펩타이드)</t>
        </is>
      </c>
      <c r="C124" s="34" t="inlineStr">
        <is>
          <t>Palmitoyl Tripeptide-1, Palmitoyl Tetrapeptide-7</t>
        </is>
      </c>
      <c r="D124" s="37" t="inlineStr">
        <is>
          <t>–</t>
        </is>
      </c>
      <c r="E124" s="57" t="inlineStr">
        <is>
          <t>활성</t>
        </is>
      </c>
      <c r="F124" s="34" t="inlineStr">
        <is>
          <t>탄력 이미지</t>
        </is>
      </c>
      <c r="G124" s="34" t="inlineStr">
        <is>
          <t>합성</t>
        </is>
      </c>
      <c r="H124" s="34" t="inlineStr">
        <is>
          <t>아미노산</t>
        </is>
      </c>
      <c r="I124" s="34" t="inlineStr">
        <is>
          <t>펩타이드 합성 → 지방산(팔미토일) 결합 → 저농도 원료액</t>
        </is>
      </c>
      <c r="J124" s="34" t="inlineStr">
        <is>
          <t>리포펩타이드</t>
        </is>
      </c>
      <c r="K124" s="34" t="inlineStr">
        <is>
          <t>원료액</t>
        </is>
      </c>
      <c r="L124" s="34" t="inlineStr">
        <is>
          <t>무색~유백</t>
        </is>
      </c>
      <c r="M124" s="34" t="inlineStr">
        <is>
          <t>무취</t>
        </is>
      </c>
      <c r="N124" s="34" t="inlineStr">
        <is>
          <t>수분산(용제 포함)</t>
        </is>
      </c>
      <c r="O124" s="34" t="inlineStr">
        <is>
          <t>냉각상</t>
        </is>
      </c>
      <c r="P124" s="34" t="inlineStr">
        <is>
          <t>무감</t>
        </is>
      </c>
      <c r="Q124" s="34" t="inlineStr">
        <is>
          <t>—</t>
        </is>
      </c>
      <c r="R124" s="34" t="inlineStr">
        <is>
          <t>—</t>
        </is>
      </c>
      <c r="S124" s="34" t="inlineStr">
        <is>
          <t>원료액 2~5%</t>
        </is>
      </c>
      <c r="T124" s="34" t="inlineStr">
        <is>
          <t>pH 4~7, 열 약함</t>
        </is>
      </c>
      <c r="U124" s="34" t="inlineStr">
        <is>
          <t>원료액 속 실제 펩타이드는 ppm 수준</t>
        </is>
      </c>
      <c r="V124" s="34" t="inlineStr">
        <is>
          <t>₩30,000~/30g</t>
        </is>
      </c>
      <c r="W124" s="37" t="inlineStr">
        <is>
          <t>★★★☆☆</t>
        </is>
      </c>
      <c r="X124" s="34" t="inlineStr">
        <is>
          <t>냉장</t>
        </is>
      </c>
      <c r="Y124" s="34" t="inlineStr">
        <is>
          <t>고시 성분 아님</t>
        </is>
      </c>
      <c r="Z124" s="34" t="inlineStr">
        <is>
          <t>—</t>
        </is>
      </c>
      <c r="AA124" s="34" t="inlineStr">
        <is>
          <t>아데노신·아세틸헥사펩타이드-8</t>
        </is>
      </c>
      <c r="AB124" s="34" t="inlineStr">
        <is>
          <t>탄력 소구. 주름 기능성 보고는 아데노신으로</t>
        </is>
      </c>
      <c r="AC124" s="34" t="inlineStr">
        <is>
          <t>—</t>
        </is>
      </c>
      <c r="AD124" s="34" t="inlineStr">
        <is>
          <t>도감 기능성</t>
        </is>
      </c>
      <c r="AE124" s="38" t="n"/>
      <c r="AF124" s="39" t="n"/>
      <c r="AG124" s="38" t="n"/>
    </row>
    <row r="125" ht="92" customHeight="1">
      <c r="A125" s="55" t="n">
        <v>121</v>
      </c>
      <c r="B125" s="56" t="inlineStr">
        <is>
          <t>아세틸헥사펩타이드-8(아지렐린)</t>
        </is>
      </c>
      <c r="C125" s="34" t="inlineStr">
        <is>
          <t>Acetyl Hexapeptide-8</t>
        </is>
      </c>
      <c r="D125" s="37" t="inlineStr">
        <is>
          <t>–</t>
        </is>
      </c>
      <c r="E125" s="57" t="inlineStr">
        <is>
          <t>활성</t>
        </is>
      </c>
      <c r="F125" s="34" t="inlineStr">
        <is>
          <t>표정 주름 이미지</t>
        </is>
      </c>
      <c r="G125" s="34" t="inlineStr">
        <is>
          <t>합성</t>
        </is>
      </c>
      <c r="H125" s="34" t="inlineStr">
        <is>
          <t>아미노산</t>
        </is>
      </c>
      <c r="I125" s="34" t="inlineStr">
        <is>
          <t>고상 펩타이드 합성 → 원료액</t>
        </is>
      </c>
      <c r="J125" s="34" t="inlineStr">
        <is>
          <t>펩타이드</t>
        </is>
      </c>
      <c r="K125" s="34" t="inlineStr">
        <is>
          <t>원료액</t>
        </is>
      </c>
      <c r="L125" s="34" t="inlineStr">
        <is>
          <t>무색</t>
        </is>
      </c>
      <c r="M125" s="34" t="inlineStr">
        <is>
          <t>무취</t>
        </is>
      </c>
      <c r="N125" s="34" t="inlineStr">
        <is>
          <t>수용성</t>
        </is>
      </c>
      <c r="O125" s="34" t="inlineStr">
        <is>
          <t>냉각상</t>
        </is>
      </c>
      <c r="P125" s="34" t="inlineStr">
        <is>
          <t>무감</t>
        </is>
      </c>
      <c r="Q125" s="34" t="inlineStr">
        <is>
          <t>—</t>
        </is>
      </c>
      <c r="R125" s="34" t="inlineStr">
        <is>
          <t>—</t>
        </is>
      </c>
      <c r="S125" s="34" t="inlineStr">
        <is>
          <t>원료액 2~10%</t>
        </is>
      </c>
      <c r="T125" s="34" t="inlineStr">
        <is>
          <t>pH 5~7</t>
        </is>
      </c>
      <c r="U125" s="34" t="inlineStr">
        <is>
          <t>'보톡스' 표현은 의약품 오인 광고 위험</t>
        </is>
      </c>
      <c r="V125" s="34" t="inlineStr">
        <is>
          <t>₩20,000/30ml</t>
        </is>
      </c>
      <c r="W125" s="37" t="inlineStr">
        <is>
          <t>★★★☆☆</t>
        </is>
      </c>
      <c r="X125" s="34" t="inlineStr">
        <is>
          <t>냉장</t>
        </is>
      </c>
      <c r="Y125" s="34" t="inlineStr">
        <is>
          <t>고시 성분 아님</t>
        </is>
      </c>
      <c r="Z125" s="34" t="inlineStr">
        <is>
          <t>—</t>
        </is>
      </c>
      <c r="AA125" s="34" t="inlineStr">
        <is>
          <t>매트릭실·씨네이크</t>
        </is>
      </c>
      <c r="AB125" s="34" t="inlineStr">
        <is>
          <t>광고 문구 리스크 학습용 대표 원료</t>
        </is>
      </c>
      <c r="AC125" s="34" t="inlineStr">
        <is>
          <t>—</t>
        </is>
      </c>
      <c r="AD125" s="34" t="inlineStr">
        <is>
          <t>도감 기능성</t>
        </is>
      </c>
      <c r="AE125" s="38" t="n"/>
      <c r="AF125" s="39" t="n"/>
      <c r="AG125" s="38" t="n"/>
    </row>
    <row r="126" ht="92" customHeight="1">
      <c r="A126" s="55" t="n">
        <v>122</v>
      </c>
      <c r="B126" s="56" t="inlineStr">
        <is>
          <t>코퍼트라이펩타이드-1(GHK-Cu)</t>
        </is>
      </c>
      <c r="C126" s="34" t="inlineStr">
        <is>
          <t>Copper Tripeptide-1</t>
        </is>
      </c>
      <c r="D126" s="37" t="inlineStr">
        <is>
          <t>–</t>
        </is>
      </c>
      <c r="E126" s="57" t="inlineStr">
        <is>
          <t>활성</t>
        </is>
      </c>
      <c r="F126" s="34" t="inlineStr">
        <is>
          <t>재생·탄력 이미지</t>
        </is>
      </c>
      <c r="G126" s="34" t="inlineStr">
        <is>
          <t>합성</t>
        </is>
      </c>
      <c r="H126" s="34" t="inlineStr">
        <is>
          <t>글리신·히스티딘·라이신 + 구리</t>
        </is>
      </c>
      <c r="I126" s="34" t="inlineStr">
        <is>
          <t>펩타이드 합성 → 구리 착화</t>
        </is>
      </c>
      <c r="J126" s="34" t="inlineStr">
        <is>
          <t>금속 펩타이드 착물</t>
        </is>
      </c>
      <c r="K126" s="34" t="inlineStr">
        <is>
          <t>분말/원료액</t>
        </is>
      </c>
      <c r="L126" s="34" t="inlineStr">
        <is>
          <t>청색</t>
        </is>
      </c>
      <c r="M126" s="34" t="inlineStr">
        <is>
          <t>무취</t>
        </is>
      </c>
      <c r="N126" s="34" t="inlineStr">
        <is>
          <t>수용성</t>
        </is>
      </c>
      <c r="O126" s="34" t="inlineStr">
        <is>
          <t>냉각상</t>
        </is>
      </c>
      <c r="P126" s="34" t="inlineStr">
        <is>
          <t>무감</t>
        </is>
      </c>
      <c r="Q126" s="34" t="inlineStr">
        <is>
          <t>—</t>
        </is>
      </c>
      <c r="R126" s="34" t="inlineStr">
        <is>
          <t>—</t>
        </is>
      </c>
      <c r="S126" s="34" t="inlineStr">
        <is>
          <t>원료액 0.5~2%</t>
        </is>
      </c>
      <c r="T126" s="34" t="inlineStr">
        <is>
          <t>pH 5~7</t>
        </is>
      </c>
      <c r="U126" s="34" t="inlineStr">
        <is>
          <t>★ 비타민C·EDTA·강산과 비호환(구리 해리) → 제품이 파랗게</t>
        </is>
      </c>
      <c r="V126" s="34" t="inlineStr">
        <is>
          <t>₩40,000/10g</t>
        </is>
      </c>
      <c r="W126" s="37" t="inlineStr">
        <is>
          <t>★★☆☆☆</t>
        </is>
      </c>
      <c r="X126" s="34" t="inlineStr">
        <is>
          <t>냉장·차광</t>
        </is>
      </c>
      <c r="Y126" s="34" t="inlineStr">
        <is>
          <t>고시 성분 아님</t>
        </is>
      </c>
      <c r="Z126" s="34" t="inlineStr">
        <is>
          <t>—</t>
        </is>
      </c>
      <c r="AA126" s="34" t="inlineStr">
        <is>
          <t>매트릭실</t>
        </is>
      </c>
      <c r="AB126" s="34" t="inlineStr">
        <is>
          <t>고가·까다로움. 킬레이트제 빼야 함</t>
        </is>
      </c>
      <c r="AC126" s="34" t="inlineStr">
        <is>
          <t>—</t>
        </is>
      </c>
      <c r="AD126" s="34" t="inlineStr">
        <is>
          <t>도감 기능성</t>
        </is>
      </c>
      <c r="AE126" s="38" t="n"/>
      <c r="AF126" s="39" t="n"/>
      <c r="AG126" s="38" t="n"/>
    </row>
    <row r="127" ht="92" customHeight="1">
      <c r="A127" s="55" t="n">
        <v>123</v>
      </c>
      <c r="B127" s="56" t="inlineStr">
        <is>
          <t>마그네슘아스코빌포스페이트(MAP)</t>
        </is>
      </c>
      <c r="C127" s="34" t="inlineStr">
        <is>
          <t>Magnesium Ascorbyl Phosphate</t>
        </is>
      </c>
      <c r="D127" s="37" t="inlineStr">
        <is>
          <t>–</t>
        </is>
      </c>
      <c r="E127" s="57" t="inlineStr">
        <is>
          <t>활성</t>
        </is>
      </c>
      <c r="F127" s="34" t="inlineStr">
        <is>
          <t>미백 기능성(비타민C 유도체)</t>
        </is>
      </c>
      <c r="G127" s="34" t="inlineStr">
        <is>
          <t>합성</t>
        </is>
      </c>
      <c r="H127" s="34" t="inlineStr">
        <is>
          <t>비타민C</t>
        </is>
      </c>
      <c r="I127" s="34" t="inlineStr">
        <is>
          <t>인산 에스터화 → 마그네슘염</t>
        </is>
      </c>
      <c r="J127" s="34" t="inlineStr">
        <is>
          <t>비타민C 인산염</t>
        </is>
      </c>
      <c r="K127" s="34" t="inlineStr">
        <is>
          <t>분말</t>
        </is>
      </c>
      <c r="L127" s="34" t="inlineStr">
        <is>
          <t>백색</t>
        </is>
      </c>
      <c r="M127" s="34" t="inlineStr">
        <is>
          <t>무취</t>
        </is>
      </c>
      <c r="N127" s="34" t="inlineStr">
        <is>
          <t>수용성</t>
        </is>
      </c>
      <c r="O127" s="34" t="inlineStr">
        <is>
          <t>냉각상</t>
        </is>
      </c>
      <c r="P127" s="34" t="inlineStr">
        <is>
          <t>무감</t>
        </is>
      </c>
      <c r="Q127" s="34" t="inlineStr">
        <is>
          <t>—</t>
        </is>
      </c>
      <c r="R127" s="34" t="inlineStr">
        <is>
          <t>—</t>
        </is>
      </c>
      <c r="S127" s="34" t="inlineStr">
        <is>
          <t>3%</t>
        </is>
      </c>
      <c r="T127" s="34" t="inlineStr">
        <is>
          <t>★ pH 7 이상에서 안정</t>
        </is>
      </c>
      <c r="U127" s="34" t="inlineStr">
        <is>
          <t>전해질 → 카보머 점도↓</t>
        </is>
      </c>
      <c r="V127" s="34" t="inlineStr">
        <is>
          <t>₩20,000/50g</t>
        </is>
      </c>
      <c r="W127" s="37" t="inlineStr">
        <is>
          <t>★★★☆☆</t>
        </is>
      </c>
      <c r="X127" s="34" t="inlineStr">
        <is>
          <t>방습</t>
        </is>
      </c>
      <c r="Y127" s="34" t="inlineStr">
        <is>
          <t>★ 미백 기능성 고시 3%</t>
        </is>
      </c>
      <c r="Z127" s="34" t="inlineStr">
        <is>
          <t>미백 고시: MAP 3%</t>
        </is>
      </c>
      <c r="AA127" s="34" t="inlineStr">
        <is>
          <t>아스코빌글루코사이드·에칠아스코빌에텔</t>
        </is>
      </c>
      <c r="AB127" s="34" t="inlineStr">
        <is>
          <t>중성 pH 제품용 C 유도체</t>
        </is>
      </c>
      <c r="AC127" s="34" t="inlineStr">
        <is>
          <t>—</t>
        </is>
      </c>
      <c r="AD127" s="34" t="inlineStr">
        <is>
          <t>도감 기능성</t>
        </is>
      </c>
      <c r="AE127" s="38" t="n"/>
      <c r="AF127" s="39" t="n"/>
      <c r="AG127" s="38" t="n"/>
    </row>
    <row r="128" ht="92" customHeight="1">
      <c r="A128" s="55" t="n">
        <v>124</v>
      </c>
      <c r="B128" s="56" t="inlineStr">
        <is>
          <t>순수 비타민C(아스코빅애씨드)</t>
        </is>
      </c>
      <c r="C128" s="34" t="inlineStr">
        <is>
          <t>Ascorbic Acid</t>
        </is>
      </c>
      <c r="D128" s="37" t="inlineStr">
        <is>
          <t>–</t>
        </is>
      </c>
      <c r="E128" s="57" t="inlineStr">
        <is>
          <t>활성</t>
        </is>
      </c>
      <c r="F128" s="34" t="inlineStr">
        <is>
          <t>항산화·톤</t>
        </is>
      </c>
      <c r="G128" s="34" t="inlineStr">
        <is>
          <t>합성/발효</t>
        </is>
      </c>
      <c r="H128" s="34" t="inlineStr">
        <is>
          <t>포도당</t>
        </is>
      </c>
      <c r="I128" s="34" t="inlineStr">
        <is>
          <t>발효 + 화학 공정(라이히슈타인법)</t>
        </is>
      </c>
      <c r="J128" s="34" t="inlineStr">
        <is>
          <t>비타민C</t>
        </is>
      </c>
      <c r="K128" s="34" t="inlineStr">
        <is>
          <t>결정 분말</t>
        </is>
      </c>
      <c r="L128" s="34" t="inlineStr">
        <is>
          <t>백색</t>
        </is>
      </c>
      <c r="M128" s="34" t="inlineStr">
        <is>
          <t>무취(신맛)</t>
        </is>
      </c>
      <c r="N128" s="34" t="inlineStr">
        <is>
          <t>수용성</t>
        </is>
      </c>
      <c r="O128" s="34" t="inlineStr">
        <is>
          <t>냉각상, 마지막</t>
        </is>
      </c>
      <c r="P128" s="34" t="inlineStr">
        <is>
          <t>따끔(저pH)</t>
        </is>
      </c>
      <c r="Q128" s="34" t="inlineStr">
        <is>
          <t>—</t>
        </is>
      </c>
      <c r="R128" s="34" t="inlineStr">
        <is>
          <t>—</t>
        </is>
      </c>
      <c r="S128" s="34" t="inlineStr">
        <is>
          <t>5~20%</t>
        </is>
      </c>
      <c r="T128" s="34" t="inlineStr">
        <is>
          <t>★ pH 3.5 이하에서 효과, 산화 갈변 매우 빠름</t>
        </is>
      </c>
      <c r="U128" s="34" t="inlineStr">
        <is>
          <t>무수(오일·실리콘) 베이스 or 소량 생산. 페룰릭+E로 안정화</t>
        </is>
      </c>
      <c r="V128" s="34" t="inlineStr">
        <is>
          <t>₩5,000/100g</t>
        </is>
      </c>
      <c r="W128" s="37" t="inlineStr">
        <is>
          <t>★★★★☆</t>
        </is>
      </c>
      <c r="X128" s="34" t="inlineStr">
        <is>
          <t>방습·차광</t>
        </is>
      </c>
      <c r="Y128" s="34" t="inlineStr">
        <is>
          <t>국내 미백 고시 성분 아님(유도체만 고시)</t>
        </is>
      </c>
      <c r="Z128" s="34" t="inlineStr">
        <is>
          <t>순수 C vs 유도체 차이</t>
        </is>
      </c>
      <c r="AA128" s="34" t="inlineStr">
        <is>
          <t>아스코빌글루코사이드·에칠아스코빌에텔</t>
        </is>
      </c>
      <c r="AB128" s="34" t="inlineStr">
        <is>
          <t>효과 최강·안정성 최악. OEM 아니면 소량 신선 제조</t>
        </is>
      </c>
      <c r="AC128" s="34" t="inlineStr">
        <is>
          <t>10% 수용액 실온·냉장 각각 → 갈변 날짜 기록</t>
        </is>
      </c>
      <c r="AD128" s="34" t="inlineStr">
        <is>
          <t>도감 기능성</t>
        </is>
      </c>
      <c r="AE128" s="38" t="n"/>
      <c r="AF128" s="39" t="n"/>
      <c r="AG128" s="38" t="n"/>
    </row>
    <row r="129" ht="92" customHeight="1">
      <c r="A129" s="55" t="n">
        <v>125</v>
      </c>
      <c r="B129" s="56" t="inlineStr">
        <is>
          <t>에칠아스코빌에텔</t>
        </is>
      </c>
      <c r="C129" s="34" t="inlineStr">
        <is>
          <t>3-O-Ethyl Ascorbic Acid</t>
        </is>
      </c>
      <c r="D129" s="37" t="inlineStr">
        <is>
          <t>–</t>
        </is>
      </c>
      <c r="E129" s="57" t="inlineStr">
        <is>
          <t>활성</t>
        </is>
      </c>
      <c r="F129" s="34" t="inlineStr">
        <is>
          <t>미백 기능성(안정형 C)</t>
        </is>
      </c>
      <c r="G129" s="34" t="inlineStr">
        <is>
          <t>합성</t>
        </is>
      </c>
      <c r="H129" s="34" t="inlineStr">
        <is>
          <t>비타민C</t>
        </is>
      </c>
      <c r="I129" s="34" t="inlineStr">
        <is>
          <t>3번 위치 에틸 에테르화</t>
        </is>
      </c>
      <c r="J129" s="34" t="inlineStr">
        <is>
          <t>비타민C 유도체(양친매)</t>
        </is>
      </c>
      <c r="K129" s="34" t="inlineStr">
        <is>
          <t>분말</t>
        </is>
      </c>
      <c r="L129" s="34" t="inlineStr">
        <is>
          <t>백색</t>
        </is>
      </c>
      <c r="M129" s="34" t="inlineStr">
        <is>
          <t>무취</t>
        </is>
      </c>
      <c r="N129" s="34" t="inlineStr">
        <is>
          <t>수용성(일부 유용)</t>
        </is>
      </c>
      <c r="O129" s="34" t="inlineStr">
        <is>
          <t>냉각상</t>
        </is>
      </c>
      <c r="P129" s="34" t="inlineStr">
        <is>
          <t>무감</t>
        </is>
      </c>
      <c r="Q129" s="34" t="inlineStr">
        <is>
          <t>—</t>
        </is>
      </c>
      <c r="R129" s="34" t="inlineStr">
        <is>
          <t>—</t>
        </is>
      </c>
      <c r="S129" s="34" t="inlineStr">
        <is>
          <t>1~2%</t>
        </is>
      </c>
      <c r="T129" s="34" t="inlineStr">
        <is>
          <t>pH 4~6, 시간 지나며 노란 변색 가능</t>
        </is>
      </c>
      <c r="U129" s="34" t="inlineStr">
        <is>
          <t>허브누리 '프리미엄 비타민C'</t>
        </is>
      </c>
      <c r="V129" s="34" t="inlineStr">
        <is>
          <t>₩30,000/20g</t>
        </is>
      </c>
      <c r="W129" s="37" t="inlineStr">
        <is>
          <t>★★★★☆</t>
        </is>
      </c>
      <c r="X129" s="34" t="inlineStr">
        <is>
          <t>방습·차광</t>
        </is>
      </c>
      <c r="Y129" s="34" t="inlineStr">
        <is>
          <t>★ 미백 기능성 고시 1~2%</t>
        </is>
      </c>
      <c r="Z129" s="34" t="inlineStr">
        <is>
          <t>미백 고시 성분</t>
        </is>
      </c>
      <c r="AA129" s="34" t="inlineStr">
        <is>
          <t>아스코빌글루코사이드·MAP</t>
        </is>
      </c>
      <c r="AB129" s="34" t="inlineStr">
        <is>
          <t>유도체 중 체감·흡수 이미지 좋음</t>
        </is>
      </c>
      <c r="AC129" s="34" t="inlineStr">
        <is>
          <t>—</t>
        </is>
      </c>
      <c r="AD129" s="34" t="inlineStr">
        <is>
          <t>도감 기능성</t>
        </is>
      </c>
      <c r="AE129" s="38" t="n"/>
      <c r="AF129" s="39" t="n"/>
      <c r="AG129" s="38" t="n"/>
    </row>
    <row r="130" ht="92" customHeight="1">
      <c r="A130" s="55" t="n">
        <v>126</v>
      </c>
      <c r="B130" s="56" t="inlineStr">
        <is>
          <t>유용성감초추출물</t>
        </is>
      </c>
      <c r="C130" s="34" t="inlineStr">
        <is>
          <t>Glycyrrhiza Glabra Root Extract (Glabridin)</t>
        </is>
      </c>
      <c r="D130" s="37" t="inlineStr">
        <is>
          <t>–</t>
        </is>
      </c>
      <c r="E130" s="57" t="inlineStr">
        <is>
          <t>활성</t>
        </is>
      </c>
      <c r="F130" s="34" t="inlineStr">
        <is>
          <t>미백 기능성·진정</t>
        </is>
      </c>
      <c r="G130" s="34" t="inlineStr">
        <is>
          <t>식물</t>
        </is>
      </c>
      <c r="H130" s="34" t="inlineStr">
        <is>
          <t>감초(Glycyrrhiza glabra) 뿌리</t>
        </is>
      </c>
      <c r="I130" s="34" t="inlineStr">
        <is>
          <t>에탄올 등 유용성 추출 → 글라브리딘 농축</t>
        </is>
      </c>
      <c r="J130" s="34" t="inlineStr">
        <is>
          <t>플라보노이드</t>
        </is>
      </c>
      <c r="K130" s="34" t="inlineStr">
        <is>
          <t>분말/오일액</t>
        </is>
      </c>
      <c r="L130" s="34" t="inlineStr">
        <is>
          <t>황갈색</t>
        </is>
      </c>
      <c r="M130" s="34" t="inlineStr">
        <is>
          <t>약한 감초향</t>
        </is>
      </c>
      <c r="N130" s="34" t="inlineStr">
        <is>
          <t>유용성</t>
        </is>
      </c>
      <c r="O130" s="34" t="inlineStr">
        <is>
          <t>B상 or 냉각상</t>
        </is>
      </c>
      <c r="P130" s="34" t="inlineStr">
        <is>
          <t>무감</t>
        </is>
      </c>
      <c r="Q130" s="34" t="inlineStr">
        <is>
          <t>—</t>
        </is>
      </c>
      <c r="R130" s="34" t="inlineStr">
        <is>
          <t>—</t>
        </is>
      </c>
      <c r="S130" s="34" t="inlineStr">
        <is>
          <t>0.05%(고시)</t>
        </is>
      </c>
      <c r="T130" s="34" t="inlineStr">
        <is>
          <t>안정</t>
        </is>
      </c>
      <c r="U130" s="34" t="inlineStr">
        <is>
          <t>수용성 디포타슘글리시리제이트와 다른 원료</t>
        </is>
      </c>
      <c r="V130" s="34" t="inlineStr">
        <is>
          <t>₩40,000/10g</t>
        </is>
      </c>
      <c r="W130" s="37" t="inlineStr">
        <is>
          <t>★★☆☆☆</t>
        </is>
      </c>
      <c r="X130" s="34" t="inlineStr">
        <is>
          <t>차광</t>
        </is>
      </c>
      <c r="Y130" s="34" t="inlineStr">
        <is>
          <t>★ 미백 기능성 고시 0.05%</t>
        </is>
      </c>
      <c r="Z130" s="34" t="inlineStr">
        <is>
          <t>미백 고시: 유용성감초추출물 0.05%</t>
        </is>
      </c>
      <c r="AA130" s="34" t="inlineStr">
        <is>
          <t>디포타슘글리시리제이트·알부틴</t>
        </is>
      </c>
      <c r="AB130" s="34" t="inlineStr">
        <is>
          <t>극미량으로 미백 보고 가능. 고가</t>
        </is>
      </c>
      <c r="AC130" s="34" t="inlineStr">
        <is>
          <t>—</t>
        </is>
      </c>
      <c r="AD130" s="34" t="inlineStr">
        <is>
          <t>도감 기능성</t>
        </is>
      </c>
      <c r="AE130" s="38" t="n"/>
      <c r="AF130" s="39" t="n"/>
      <c r="AG130" s="38" t="n"/>
    </row>
    <row r="131" ht="92" customHeight="1">
      <c r="A131" s="55" t="n">
        <v>127</v>
      </c>
      <c r="B131" s="56" t="inlineStr">
        <is>
          <t>닥나무추출물</t>
        </is>
      </c>
      <c r="C131" s="34" t="inlineStr">
        <is>
          <t>Broussonetia Extract</t>
        </is>
      </c>
      <c r="D131" s="37" t="inlineStr">
        <is>
          <t>–</t>
        </is>
      </c>
      <c r="E131" s="57" t="inlineStr">
        <is>
          <t>활성</t>
        </is>
      </c>
      <c r="F131" s="34" t="inlineStr">
        <is>
          <t>미백 기능성</t>
        </is>
      </c>
      <c r="G131" s="34" t="inlineStr">
        <is>
          <t>식물</t>
        </is>
      </c>
      <c r="H131" s="34" t="inlineStr">
        <is>
          <t>닥나무 뿌리/줄기</t>
        </is>
      </c>
      <c r="I131" s="34" t="inlineStr">
        <is>
          <t>용매 추출 → 농축</t>
        </is>
      </c>
      <c r="J131" s="34" t="inlineStr">
        <is>
          <t>폴리페놀</t>
        </is>
      </c>
      <c r="K131" s="34" t="inlineStr">
        <is>
          <t>액상/분말</t>
        </is>
      </c>
      <c r="L131" s="34" t="inlineStr">
        <is>
          <t>갈색</t>
        </is>
      </c>
      <c r="M131" s="34" t="inlineStr">
        <is>
          <t>약한 냄새</t>
        </is>
      </c>
      <c r="N131" s="34" t="inlineStr">
        <is>
          <t>수용성/BG 용액</t>
        </is>
      </c>
      <c r="O131" s="34" t="inlineStr">
        <is>
          <t>냉각상</t>
        </is>
      </c>
      <c r="P131" s="34" t="inlineStr">
        <is>
          <t>무감</t>
        </is>
      </c>
      <c r="Q131" s="34" t="inlineStr">
        <is>
          <t>—</t>
        </is>
      </c>
      <c r="R131" s="34" t="inlineStr">
        <is>
          <t>—</t>
        </is>
      </c>
      <c r="S131" s="34" t="inlineStr">
        <is>
          <t>2%(고시)</t>
        </is>
      </c>
      <c r="T131" s="34" t="inlineStr">
        <is>
          <t>산화 변색</t>
        </is>
      </c>
      <c r="U131" s="34" t="inlineStr">
        <is>
          <t>원료마다 농도 다름 → 고시 함량 기준 확인</t>
        </is>
      </c>
      <c r="V131" s="34" t="inlineStr">
        <is>
          <t>₩20,000/50g</t>
        </is>
      </c>
      <c r="W131" s="37" t="inlineStr">
        <is>
          <t>★★☆☆☆</t>
        </is>
      </c>
      <c r="X131" s="34" t="inlineStr">
        <is>
          <t>차광</t>
        </is>
      </c>
      <c r="Y131" s="34" t="inlineStr">
        <is>
          <t>★ 미백 기능성 고시 2%</t>
        </is>
      </c>
      <c r="Z131" s="34" t="inlineStr">
        <is>
          <t>★ 미백 고시 성분 중 '식물 추출물'</t>
        </is>
      </c>
      <c r="AA131" s="34" t="inlineStr">
        <is>
          <t>유용성감초·상백피</t>
        </is>
      </c>
      <c r="AB131" s="34" t="inlineStr">
        <is>
          <t>한국 고유 식물 미백 고시 성분</t>
        </is>
      </c>
      <c r="AC131" s="34" t="inlineStr">
        <is>
          <t>—</t>
        </is>
      </c>
      <c r="AD131" s="34" t="inlineStr">
        <is>
          <t>도감 기능성</t>
        </is>
      </c>
      <c r="AE131" s="38" t="n"/>
      <c r="AF131" s="39" t="n"/>
      <c r="AG131" s="38" t="n"/>
    </row>
    <row r="132" ht="92" customHeight="1">
      <c r="A132" s="55" t="n">
        <v>128</v>
      </c>
      <c r="B132" s="56" t="inlineStr">
        <is>
          <t>트라넥사믹애씨드</t>
        </is>
      </c>
      <c r="C132" s="34" t="inlineStr">
        <is>
          <t>Tranexamic Acid</t>
        </is>
      </c>
      <c r="D132" s="37" t="inlineStr">
        <is>
          <t>–</t>
        </is>
      </c>
      <c r="E132" s="57" t="inlineStr">
        <is>
          <t>활성</t>
        </is>
      </c>
      <c r="F132" s="34" t="inlineStr">
        <is>
          <t>톤·기미 이미지</t>
        </is>
      </c>
      <c r="G132" s="34" t="inlineStr">
        <is>
          <t>합성</t>
        </is>
      </c>
      <c r="H132" s="34" t="inlineStr">
        <is>
          <t>합성(아미노산 유도체)</t>
        </is>
      </c>
      <c r="I132" s="34" t="inlineStr">
        <is>
          <t>합성 → 결정</t>
        </is>
      </c>
      <c r="J132" s="34" t="inlineStr">
        <is>
          <t>리신 유도체</t>
        </is>
      </c>
      <c r="K132" s="34" t="inlineStr">
        <is>
          <t>분말</t>
        </is>
      </c>
      <c r="L132" s="34" t="inlineStr">
        <is>
          <t>백색</t>
        </is>
      </c>
      <c r="M132" s="34" t="inlineStr">
        <is>
          <t>무취</t>
        </is>
      </c>
      <c r="N132" s="34" t="inlineStr">
        <is>
          <t>수용성</t>
        </is>
      </c>
      <c r="O132" s="34" t="inlineStr">
        <is>
          <t>A상 or 냉각상</t>
        </is>
      </c>
      <c r="P132" s="34" t="inlineStr">
        <is>
          <t>무감</t>
        </is>
      </c>
      <c r="Q132" s="34" t="inlineStr">
        <is>
          <t>—</t>
        </is>
      </c>
      <c r="R132" s="34" t="inlineStr">
        <is>
          <t>—</t>
        </is>
      </c>
      <c r="S132" s="34" t="inlineStr">
        <is>
          <t>2~3%</t>
        </is>
      </c>
      <c r="T132" s="34" t="inlineStr">
        <is>
          <t>안정</t>
        </is>
      </c>
      <c r="U132" s="34" t="inlineStr">
        <is>
          <t>의약품 성분이기도 함 → 효능 표현 주의</t>
        </is>
      </c>
      <c r="V132" s="34" t="inlineStr">
        <is>
          <t>₩15,000/50g</t>
        </is>
      </c>
      <c r="W132" s="37" t="inlineStr">
        <is>
          <t>★★★☆☆</t>
        </is>
      </c>
      <c r="X132" s="34" t="inlineStr">
        <is>
          <t>방습</t>
        </is>
      </c>
      <c r="Y132" s="34" t="inlineStr">
        <is>
          <t>국내 미백 고시 성분 아님(자료제출 필요) / 일본 의약부외품 미백 성분</t>
        </is>
      </c>
      <c r="Z132" s="34" t="inlineStr">
        <is>
          <t>나라별 기능성 성분 차이</t>
        </is>
      </c>
      <c r="AA132" s="34" t="inlineStr">
        <is>
          <t>나이아신아마이드·알부틴</t>
        </is>
      </c>
      <c r="AB132" s="34" t="inlineStr">
        <is>
          <t>수출(일본) 스토리. 국내는 일반 화장품</t>
        </is>
      </c>
      <c r="AC132" s="34" t="inlineStr">
        <is>
          <t>—</t>
        </is>
      </c>
      <c r="AD132" s="34" t="inlineStr">
        <is>
          <t>도감 기능성</t>
        </is>
      </c>
      <c r="AE132" s="38" t="n"/>
      <c r="AF132" s="39" t="n"/>
      <c r="AG132" s="38" t="n"/>
    </row>
    <row r="133" ht="92" customHeight="1">
      <c r="A133" s="55" t="n">
        <v>129</v>
      </c>
      <c r="B133" s="56" t="inlineStr">
        <is>
          <t>글라이콜릭애씨드(AHA)</t>
        </is>
      </c>
      <c r="C133" s="34" t="inlineStr">
        <is>
          <t>Glycolic Acid</t>
        </is>
      </c>
      <c r="D133" s="37" t="inlineStr">
        <is>
          <t>–</t>
        </is>
      </c>
      <c r="E133" s="57" t="inlineStr">
        <is>
          <t>활성</t>
        </is>
      </c>
      <c r="F133" s="34" t="inlineStr">
        <is>
          <t>각질 제거</t>
        </is>
      </c>
      <c r="G133" s="34" t="inlineStr">
        <is>
          <t>합성/식물</t>
        </is>
      </c>
      <c r="H133" s="34" t="inlineStr">
        <is>
          <t>사탕수수(이미지) / 합성</t>
        </is>
      </c>
      <c r="I133" s="34" t="inlineStr">
        <is>
          <t>포름알데하이드 카보닐화 합성 → 70% 수용액</t>
        </is>
      </c>
      <c r="J133" s="34" t="inlineStr">
        <is>
          <t>알파하이드록시산(가장 작은 분자)</t>
        </is>
      </c>
      <c r="K133" s="34" t="inlineStr">
        <is>
          <t>액상(70%)</t>
        </is>
      </c>
      <c r="L133" s="34" t="inlineStr">
        <is>
          <t>무색</t>
        </is>
      </c>
      <c r="M133" s="34" t="inlineStr">
        <is>
          <t>약한 산취</t>
        </is>
      </c>
      <c r="N133" s="34" t="inlineStr">
        <is>
          <t>수용성</t>
        </is>
      </c>
      <c r="O133" s="34" t="inlineStr">
        <is>
          <t>냉각상, pH 3.5~4 조정</t>
        </is>
      </c>
      <c r="P133" s="34" t="inlineStr">
        <is>
          <t>따끔·화끈</t>
        </is>
      </c>
      <c r="Q133" s="34" t="inlineStr">
        <is>
          <t>—</t>
        </is>
      </c>
      <c r="R133" s="34" t="inlineStr">
        <is>
          <t>—</t>
        </is>
      </c>
      <c r="S133" s="34" t="inlineStr">
        <is>
          <t>3~10%</t>
        </is>
      </c>
      <c r="T133" s="34" t="inlineStr">
        <is>
          <t>pH 낮을수록 효과·자극↑</t>
        </is>
      </c>
      <c r="U133" s="34" t="inlineStr">
        <is>
          <t>★ 강산 취급(장갑). 수산화나트륨/아르기닌으로 부분 중화</t>
        </is>
      </c>
      <c r="V133" s="34" t="inlineStr">
        <is>
          <t>₩8,000/100g</t>
        </is>
      </c>
      <c r="W133" s="37" t="inlineStr">
        <is>
          <t>★★★☆☆</t>
        </is>
      </c>
      <c r="X133" s="34" t="inlineStr">
        <is>
          <t>밀봉</t>
        </is>
      </c>
      <c r="Y133" s="34" t="inlineStr">
        <is>
          <t>★ AHA 0.5% 초과 함유 시 개별 주의사항 표시(햇빛 감수성)</t>
        </is>
      </c>
      <c r="Z133" s="34" t="inlineStr">
        <is>
          <t>★ AHA 주의문구 빈출</t>
        </is>
      </c>
      <c r="AA133" s="34" t="inlineStr">
        <is>
          <t>락틱·만델릭·글루코노락톤</t>
        </is>
      </c>
      <c r="AB133" s="34" t="inlineStr">
        <is>
          <t>효과 가장 빠름·자극 최강</t>
        </is>
      </c>
      <c r="AC133" s="34" t="inlineStr">
        <is>
          <t>—</t>
        </is>
      </c>
      <c r="AD133" s="34" t="inlineStr">
        <is>
          <t>도감 기능성</t>
        </is>
      </c>
      <c r="AE133" s="38" t="n"/>
      <c r="AF133" s="39" t="n"/>
      <c r="AG133" s="38" t="n"/>
    </row>
    <row r="134" ht="92" customHeight="1">
      <c r="A134" s="55" t="n">
        <v>130</v>
      </c>
      <c r="B134" s="56" t="inlineStr">
        <is>
          <t>락틱애씨드(+소듐락테이트)</t>
        </is>
      </c>
      <c r="C134" s="34" t="inlineStr">
        <is>
          <t>Lactic Acid / Sodium Lactate</t>
        </is>
      </c>
      <c r="D134" s="37" t="inlineStr">
        <is>
          <t>–</t>
        </is>
      </c>
      <c r="E134" s="57" t="inlineStr">
        <is>
          <t>활성</t>
        </is>
      </c>
      <c r="F134" s="34" t="inlineStr">
        <is>
          <t>순한 각질·보습(NMF)·pH 버퍼</t>
        </is>
      </c>
      <c r="G134" s="34" t="inlineStr">
        <is>
          <t>발효</t>
        </is>
      </c>
      <c r="H134" s="34" t="inlineStr">
        <is>
          <t>옥수수·사탕무 당</t>
        </is>
      </c>
      <c r="I134" s="34" t="inlineStr">
        <is>
          <t>젖산균 발효 → 정제 (80~90% 액) / 염 = 소듐락테이트</t>
        </is>
      </c>
      <c r="J134" s="34" t="inlineStr">
        <is>
          <t>알파하이드록시산</t>
        </is>
      </c>
      <c r="K134" s="34" t="inlineStr">
        <is>
          <t>액상</t>
        </is>
      </c>
      <c r="L134" s="34" t="inlineStr">
        <is>
          <t>무색~연노랑</t>
        </is>
      </c>
      <c r="M134" s="34" t="inlineStr">
        <is>
          <t>약한 신 냄새</t>
        </is>
      </c>
      <c r="N134" s="34" t="inlineStr">
        <is>
          <t>수용성</t>
        </is>
      </c>
      <c r="O134" s="34" t="inlineStr">
        <is>
          <t>냉각상</t>
        </is>
      </c>
      <c r="P134" s="34" t="inlineStr">
        <is>
          <t>글라이콜릭보다 순함</t>
        </is>
      </c>
      <c r="Q134" s="34" t="inlineStr">
        <is>
          <t>—</t>
        </is>
      </c>
      <c r="R134" s="34" t="inlineStr">
        <is>
          <t>촉촉</t>
        </is>
      </c>
      <c r="S134" s="34" t="inlineStr">
        <is>
          <t>2~5% (버퍼 0.1~1%)</t>
        </is>
      </c>
      <c r="T134" s="34" t="inlineStr">
        <is>
          <t>pH 3.5~4.5에서 각질 효과</t>
        </is>
      </c>
      <c r="U134" s="34" t="inlineStr">
        <is>
          <t>소듐락테이트와 섞으면 pH 버퍼</t>
        </is>
      </c>
      <c r="V134" s="34" t="inlineStr">
        <is>
          <t>₩6,000/100g</t>
        </is>
      </c>
      <c r="W134" s="37" t="inlineStr">
        <is>
          <t>★★★☆☆</t>
        </is>
      </c>
      <c r="X134" s="34" t="inlineStr">
        <is>
          <t>밀봉</t>
        </is>
      </c>
      <c r="Y134" s="34" t="inlineStr">
        <is>
          <t>★ AHA 표시 기준 동일</t>
        </is>
      </c>
      <c r="Z134" s="34" t="inlineStr">
        <is>
          <t>—</t>
        </is>
      </c>
      <c r="AA134" s="34" t="inlineStr">
        <is>
          <t>글라이콜릭·글루코노락톤</t>
        </is>
      </c>
      <c r="AB134" s="34" t="inlineStr">
        <is>
          <t>보습까지 되는 AHA. 민감 피부 입문</t>
        </is>
      </c>
      <c r="AC134" s="34" t="inlineStr">
        <is>
          <t>—</t>
        </is>
      </c>
      <c r="AD134" s="34" t="inlineStr">
        <is>
          <t>도감 기능성</t>
        </is>
      </c>
      <c r="AE134" s="38" t="n"/>
      <c r="AF134" s="39" t="n"/>
      <c r="AG134" s="38" t="n"/>
    </row>
    <row r="135" ht="92" customHeight="1">
      <c r="A135" s="55" t="n">
        <v>131</v>
      </c>
      <c r="B135" s="56" t="inlineStr">
        <is>
          <t>만델릭애씨드</t>
        </is>
      </c>
      <c r="C135" s="34" t="inlineStr">
        <is>
          <t>Mandelic Acid</t>
        </is>
      </c>
      <c r="D135" s="37" t="inlineStr">
        <is>
          <t>–</t>
        </is>
      </c>
      <c r="E135" s="57" t="inlineStr">
        <is>
          <t>활성</t>
        </is>
      </c>
      <c r="F135" s="34" t="inlineStr">
        <is>
          <t>순한 각질·피지</t>
        </is>
      </c>
      <c r="G135" s="34" t="inlineStr">
        <is>
          <t>합성</t>
        </is>
      </c>
      <c r="H135" s="34" t="inlineStr">
        <is>
          <t>벤즈알데하이드(아몬드 향 성분)</t>
        </is>
      </c>
      <c r="I135" s="34" t="inlineStr">
        <is>
          <t>합성 → 결정</t>
        </is>
      </c>
      <c r="J135" s="34" t="inlineStr">
        <is>
          <t>방향족 AHA(분자 큼)</t>
        </is>
      </c>
      <c r="K135" s="34" t="inlineStr">
        <is>
          <t>결정 분말</t>
        </is>
      </c>
      <c r="L135" s="34" t="inlineStr">
        <is>
          <t>백색</t>
        </is>
      </c>
      <c r="M135" s="34" t="inlineStr">
        <is>
          <t>무취</t>
        </is>
      </c>
      <c r="N135" s="34" t="inlineStr">
        <is>
          <t>물에 녹음(약)</t>
        </is>
      </c>
      <c r="O135" s="34" t="inlineStr">
        <is>
          <t>냉각상</t>
        </is>
      </c>
      <c r="P135" s="34" t="inlineStr">
        <is>
          <t>순함</t>
        </is>
      </c>
      <c r="Q135" s="34" t="inlineStr">
        <is>
          <t>—</t>
        </is>
      </c>
      <c r="R135" s="34" t="inlineStr">
        <is>
          <t>—</t>
        </is>
      </c>
      <c r="S135" s="34" t="inlineStr">
        <is>
          <t>2~5%</t>
        </is>
      </c>
      <c r="T135" s="34" t="inlineStr">
        <is>
          <t>pH 3.5~4</t>
        </is>
      </c>
      <c r="U135" s="34" t="inlineStr">
        <is>
          <t>분자 커서 천천히 침투 → 자극↓</t>
        </is>
      </c>
      <c r="V135" s="34" t="inlineStr">
        <is>
          <t>₩15,000/50g</t>
        </is>
      </c>
      <c r="W135" s="37" t="inlineStr">
        <is>
          <t>★★☆☆☆</t>
        </is>
      </c>
      <c r="X135" s="34" t="inlineStr">
        <is>
          <t>방습·차광</t>
        </is>
      </c>
      <c r="Y135" s="34" t="inlineStr">
        <is>
          <t>AHA 표시 기준</t>
        </is>
      </c>
      <c r="Z135" s="34" t="inlineStr">
        <is>
          <t>—</t>
        </is>
      </c>
      <c r="AA135" s="34" t="inlineStr">
        <is>
          <t>락틱·살리실산</t>
        </is>
      </c>
      <c r="AB135" s="34" t="inlineStr">
        <is>
          <t>민감·지성 겸용 각질 케어</t>
        </is>
      </c>
      <c r="AC135" s="34" t="inlineStr">
        <is>
          <t>—</t>
        </is>
      </c>
      <c r="AD135" s="34" t="inlineStr">
        <is>
          <t>도감 기능성</t>
        </is>
      </c>
      <c r="AE135" s="38" t="n"/>
      <c r="AF135" s="39" t="n"/>
      <c r="AG135" s="38" t="n"/>
    </row>
    <row r="136" ht="92" customHeight="1">
      <c r="A136" s="55" t="n">
        <v>132</v>
      </c>
      <c r="B136" s="56" t="inlineStr">
        <is>
          <t>아젤라익애씨드</t>
        </is>
      </c>
      <c r="C136" s="34" t="inlineStr">
        <is>
          <t>Azelaic Acid</t>
        </is>
      </c>
      <c r="D136" s="37" t="inlineStr">
        <is>
          <t>–</t>
        </is>
      </c>
      <c r="E136" s="57" t="inlineStr">
        <is>
          <t>활성</t>
        </is>
      </c>
      <c r="F136" s="34" t="inlineStr">
        <is>
          <t>톤·피지 이미지</t>
        </is>
      </c>
      <c r="G136" s="34" t="inlineStr">
        <is>
          <t>합성</t>
        </is>
      </c>
      <c r="H136" s="34" t="inlineStr">
        <is>
          <t>올레산 오존 분해(합성)</t>
        </is>
      </c>
      <c r="I136" s="34" t="inlineStr">
        <is>
          <t>산화 개열 → 결정</t>
        </is>
      </c>
      <c r="J136" s="34" t="inlineStr">
        <is>
          <t>디카복실산</t>
        </is>
      </c>
      <c r="K136" s="34" t="inlineStr">
        <is>
          <t>분말</t>
        </is>
      </c>
      <c r="L136" s="34" t="inlineStr">
        <is>
          <t>백색</t>
        </is>
      </c>
      <c r="M136" s="34" t="inlineStr">
        <is>
          <t>무취</t>
        </is>
      </c>
      <c r="N136" s="34" t="inlineStr">
        <is>
          <t>물에 거의 안 녹음</t>
        </is>
      </c>
      <c r="O136" s="34" t="inlineStr">
        <is>
          <t>분산 or 용제 + 고온</t>
        </is>
      </c>
      <c r="P136" s="34" t="inlineStr">
        <is>
          <t>약간 따끔</t>
        </is>
      </c>
      <c r="Q136" s="34" t="inlineStr">
        <is>
          <t>—</t>
        </is>
      </c>
      <c r="R136" s="34" t="inlineStr">
        <is>
          <t>—</t>
        </is>
      </c>
      <c r="S136" s="34" t="inlineStr">
        <is>
          <t>~10%</t>
        </is>
      </c>
      <c r="T136" s="34" t="inlineStr">
        <is>
          <t>pH 4~5</t>
        </is>
      </c>
      <c r="U136" s="34" t="inlineStr">
        <is>
          <t>분산이 어렵다(입자감). 의약품(여드름 연고 20%) 성분</t>
        </is>
      </c>
      <c r="V136" s="34" t="inlineStr">
        <is>
          <t>₩15,000/50g</t>
        </is>
      </c>
      <c r="W136" s="37" t="inlineStr">
        <is>
          <t>★★☆☆☆</t>
        </is>
      </c>
      <c r="X136" s="34" t="inlineStr">
        <is>
          <t>방습</t>
        </is>
      </c>
      <c r="Y136" s="34" t="inlineStr">
        <is>
          <t>국내 화장품 사용 가능(고시 성분 아님) — 효능 표현 주의</t>
        </is>
      </c>
      <c r="Z136" s="34" t="inlineStr">
        <is>
          <t>—</t>
        </is>
      </c>
      <c r="AA136" s="34" t="inlineStr">
        <is>
          <t>살리실산·나이아신아마이드</t>
        </is>
      </c>
      <c r="AB136" s="34" t="inlineStr">
        <is>
          <t>효과 이미지 강함·제형 난도↑</t>
        </is>
      </c>
      <c r="AC136" s="34" t="inlineStr">
        <is>
          <t>—</t>
        </is>
      </c>
      <c r="AD136" s="34" t="inlineStr">
        <is>
          <t>도감 기능성</t>
        </is>
      </c>
      <c r="AE136" s="38" t="n"/>
      <c r="AF136" s="39" t="n"/>
      <c r="AG136" s="38" t="n"/>
    </row>
    <row r="137" ht="92" customHeight="1">
      <c r="A137" s="55" t="n">
        <v>133</v>
      </c>
      <c r="B137" s="56" t="inlineStr">
        <is>
          <t>콜로이달오트밀</t>
        </is>
      </c>
      <c r="C137" s="34" t="inlineStr">
        <is>
          <t>Colloidal Oatmeal (Avena Sativa Kernel Flour)</t>
        </is>
      </c>
      <c r="D137" s="37" t="inlineStr">
        <is>
          <t>–</t>
        </is>
      </c>
      <c r="E137" s="57" t="inlineStr">
        <is>
          <t>활성</t>
        </is>
      </c>
      <c r="F137" s="34" t="inlineStr">
        <is>
          <t>진정·보호막(귀리 β-글루칸)</t>
        </is>
      </c>
      <c r="G137" s="34" t="inlineStr">
        <is>
          <t>식물</t>
        </is>
      </c>
      <c r="H137" s="34" t="inlineStr">
        <is>
          <t>귀리 낟알</t>
        </is>
      </c>
      <c r="I137" s="34" t="inlineStr">
        <is>
          <t>미세 분쇄(콜로이드 크기)</t>
        </is>
      </c>
      <c r="J137" s="34" t="inlineStr">
        <is>
          <t>곡물 분말(전분·단백·β-글루칸)</t>
        </is>
      </c>
      <c r="K137" s="34" t="inlineStr">
        <is>
          <t>분말</t>
        </is>
      </c>
      <c r="L137" s="34" t="inlineStr">
        <is>
          <t>베이지</t>
        </is>
      </c>
      <c r="M137" s="34" t="inlineStr">
        <is>
          <t>곡물 냄새</t>
        </is>
      </c>
      <c r="N137" s="34" t="inlineStr">
        <is>
          <t>물에 분산(콜로이드)</t>
        </is>
      </c>
      <c r="O137" s="34" t="inlineStr">
        <is>
          <t>수상 분산</t>
        </is>
      </c>
      <c r="P137" s="34" t="inlineStr">
        <is>
          <t>부드럽고 보호막</t>
        </is>
      </c>
      <c r="Q137" s="34" t="inlineStr">
        <is>
          <t>—</t>
        </is>
      </c>
      <c r="R137" s="34" t="inlineStr">
        <is>
          <t>촉촉</t>
        </is>
      </c>
      <c r="S137" s="34" t="inlineStr">
        <is>
          <t>1~5%</t>
        </is>
      </c>
      <c r="T137" s="34" t="inlineStr">
        <is>
          <t>미생물 영양 → 방부 필수</t>
        </is>
      </c>
      <c r="U137" s="34" t="inlineStr">
        <is>
          <t>입자감 → 체에 걸러 사용</t>
        </is>
      </c>
      <c r="V137" s="34" t="inlineStr">
        <is>
          <t>₩8,000/100g</t>
        </is>
      </c>
      <c r="W137" s="37" t="inlineStr">
        <is>
          <t>★★★★☆</t>
        </is>
      </c>
      <c r="X137" s="34" t="inlineStr">
        <is>
          <t>방습</t>
        </is>
      </c>
      <c r="Y137" s="34" t="inlineStr">
        <is>
          <t>제한 없음 / 미국 OTC 피부보호제 성분(FDA 모노그래프) — 수출 소구</t>
        </is>
      </c>
      <c r="Z137" s="34" t="inlineStr">
        <is>
          <t>나라별 OTC 개념</t>
        </is>
      </c>
      <c r="AA137" s="34" t="inlineStr">
        <is>
          <t>베타글루칸·알란토인</t>
        </is>
      </c>
      <c r="AB137" s="34" t="inlineStr">
        <is>
          <t>예민 피부 진정의 '근거 있는' 천연 원료</t>
        </is>
      </c>
      <c r="AC137" s="34" t="inlineStr">
        <is>
          <t>—</t>
        </is>
      </c>
      <c r="AD137" s="34" t="inlineStr">
        <is>
          <t>도감 기능성</t>
        </is>
      </c>
      <c r="AE137" s="38" t="n"/>
      <c r="AF137" s="39" t="n"/>
      <c r="AG137" s="38" t="n"/>
    </row>
    <row r="138" ht="92" customHeight="1">
      <c r="A138" s="55" t="n">
        <v>134</v>
      </c>
      <c r="B138" s="56" t="inlineStr">
        <is>
          <t>카페인</t>
        </is>
      </c>
      <c r="C138" s="34" t="inlineStr">
        <is>
          <t>Caffeine</t>
        </is>
      </c>
      <c r="D138" s="37" t="inlineStr">
        <is>
          <t>–</t>
        </is>
      </c>
      <c r="E138" s="57" t="inlineStr">
        <is>
          <t>활성</t>
        </is>
      </c>
      <c r="F138" s="34" t="inlineStr">
        <is>
          <t>붓기·탄력 이미지(아이크림)</t>
        </is>
      </c>
      <c r="G138" s="34" t="inlineStr">
        <is>
          <t>식물/합성</t>
        </is>
      </c>
      <c r="H138" s="34" t="inlineStr">
        <is>
          <t>찻잎·커피콩 / 합성</t>
        </is>
      </c>
      <c r="I138" s="34" t="inlineStr">
        <is>
          <t>탈카페인 공정 부산물 추출 or 합성 → 결정</t>
        </is>
      </c>
      <c r="J138" s="34" t="inlineStr">
        <is>
          <t>잔틴 알칼로이드</t>
        </is>
      </c>
      <c r="K138" s="34" t="inlineStr">
        <is>
          <t>결정 분말</t>
        </is>
      </c>
      <c r="L138" s="34" t="inlineStr">
        <is>
          <t>백색</t>
        </is>
      </c>
      <c r="M138" s="34" t="inlineStr">
        <is>
          <t>무취(쓴맛)</t>
        </is>
      </c>
      <c r="N138" s="34" t="inlineStr">
        <is>
          <t>물 ~2%(가온 시 ↑)</t>
        </is>
      </c>
      <c r="O138" s="34" t="inlineStr">
        <is>
          <t>A상 가온 용해</t>
        </is>
      </c>
      <c r="P138" s="34" t="inlineStr">
        <is>
          <t>무감</t>
        </is>
      </c>
      <c r="Q138" s="34" t="inlineStr">
        <is>
          <t>—</t>
        </is>
      </c>
      <c r="R138" s="34" t="inlineStr">
        <is>
          <t>—</t>
        </is>
      </c>
      <c r="S138" s="34" t="inlineStr">
        <is>
          <t>0.5~3%</t>
        </is>
      </c>
      <c r="T138" s="34" t="inlineStr">
        <is>
          <t>식으면 결정 석출 주의</t>
        </is>
      </c>
      <c r="U138" s="34" t="inlineStr">
        <is>
          <t>2% 초과 시 석출 → 프로판디올 병용</t>
        </is>
      </c>
      <c r="V138" s="34" t="inlineStr">
        <is>
          <t>₩10,000/50g</t>
        </is>
      </c>
      <c r="W138" s="37" t="inlineStr">
        <is>
          <t>★★★☆☆</t>
        </is>
      </c>
      <c r="X138" s="34" t="inlineStr">
        <is>
          <t>방습</t>
        </is>
      </c>
      <c r="Y138" s="34" t="inlineStr">
        <is>
          <t>제한 없음 (탈모 기능성 고시 성분 아님)</t>
        </is>
      </c>
      <c r="Z138" s="34" t="inlineStr">
        <is>
          <t>—</t>
        </is>
      </c>
      <c r="AA138" s="34" t="inlineStr">
        <is>
          <t>나이아신아마이드·펩타이드</t>
        </is>
      </c>
      <c r="AB138" s="34" t="inlineStr">
        <is>
          <t>아이크림·두피 스토리</t>
        </is>
      </c>
      <c r="AC138" s="34" t="inlineStr">
        <is>
          <t>—</t>
        </is>
      </c>
      <c r="AD138" s="34" t="inlineStr">
        <is>
          <t>도감 기능성</t>
        </is>
      </c>
      <c r="AE138" s="38" t="n"/>
      <c r="AF138" s="39" t="n"/>
      <c r="AG138" s="38" t="n"/>
    </row>
    <row r="139" ht="92" customHeight="1">
      <c r="A139" s="55" t="n">
        <v>135</v>
      </c>
      <c r="B139" s="56" t="inlineStr">
        <is>
          <t>갈락토미세스 발효여과물</t>
        </is>
      </c>
      <c r="C139" s="34" t="inlineStr">
        <is>
          <t>Galactomyces Ferment Filtrate</t>
        </is>
      </c>
      <c r="D139" s="37" t="inlineStr">
        <is>
          <t>–</t>
        </is>
      </c>
      <c r="E139" s="57" t="inlineStr">
        <is>
          <t>활성</t>
        </is>
      </c>
      <c r="F139" s="34" t="inlineStr">
        <is>
          <t>보습·결 무드(피테라 이미지)</t>
        </is>
      </c>
      <c r="G139" s="34" t="inlineStr">
        <is>
          <t>발효</t>
        </is>
      </c>
      <c r="H139" s="34" t="inlineStr">
        <is>
          <t>쌀 등 + 갈락토미세스 효모</t>
        </is>
      </c>
      <c r="I139" s="34" t="inlineStr">
        <is>
          <t>효모 발효 → 여과(+방부)</t>
        </is>
      </c>
      <c r="J139" s="34" t="inlineStr">
        <is>
          <t>발효 여과액(아미노산·유기산·당)</t>
        </is>
      </c>
      <c r="K139" s="34" t="inlineStr">
        <is>
          <t>액상</t>
        </is>
      </c>
      <c r="L139" s="34" t="inlineStr">
        <is>
          <t>무색~연황</t>
        </is>
      </c>
      <c r="M139" s="34" t="inlineStr">
        <is>
          <t>약한 발효취</t>
        </is>
      </c>
      <c r="N139" s="34" t="inlineStr">
        <is>
          <t>수용성</t>
        </is>
      </c>
      <c r="O139" s="34" t="inlineStr">
        <is>
          <t>냉각상 or 수상 대체</t>
        </is>
      </c>
      <c r="P139" s="34" t="inlineStr">
        <is>
          <t>산뜻</t>
        </is>
      </c>
      <c r="Q139" s="34" t="inlineStr">
        <is>
          <t>—</t>
        </is>
      </c>
      <c r="R139" s="34" t="inlineStr">
        <is>
          <t>—</t>
        </is>
      </c>
      <c r="S139" s="34" t="inlineStr">
        <is>
          <t>10~100%(수상 대체)</t>
        </is>
      </c>
      <c r="T139" s="34" t="inlineStr">
        <is>
          <t>미생물 취약</t>
        </is>
      </c>
      <c r="U139" s="34" t="inlineStr">
        <is>
          <t>원료 자체에 방부제 포함 여부 확인</t>
        </is>
      </c>
      <c r="V139" s="34" t="inlineStr">
        <is>
          <t>₩15,000/250ml</t>
        </is>
      </c>
      <c r="W139" s="37" t="inlineStr">
        <is>
          <t>★★★★☆</t>
        </is>
      </c>
      <c r="X139" s="34" t="inlineStr">
        <is>
          <t>냉장</t>
        </is>
      </c>
      <c r="Y139" s="34" t="inlineStr">
        <is>
          <t>제한 없음</t>
        </is>
      </c>
      <c r="Z139" s="34" t="inlineStr">
        <is>
          <t>—</t>
        </is>
      </c>
      <c r="AA139" s="34" t="inlineStr">
        <is>
          <t>사카로미세스 발효여과물</t>
        </is>
      </c>
      <c r="AB139" s="34" t="inlineStr">
        <is>
          <t>'발효 에센스' 카테고리의 핵심</t>
        </is>
      </c>
      <c r="AC139" s="34" t="inlineStr">
        <is>
          <t>—</t>
        </is>
      </c>
      <c r="AD139" s="34" t="inlineStr">
        <is>
          <t>허브누리</t>
        </is>
      </c>
      <c r="AE139" s="38" t="n"/>
      <c r="AF139" s="39" t="n"/>
      <c r="AG139" s="38" t="n"/>
    </row>
    <row r="140" ht="92" customHeight="1">
      <c r="A140" s="55" t="n">
        <v>136</v>
      </c>
      <c r="B140" s="56" t="inlineStr">
        <is>
          <t>락토바실러스 발효용해물(프로바이오틱스)</t>
        </is>
      </c>
      <c r="C140" s="34" t="inlineStr">
        <is>
          <t>Lactobacillus Ferment Lysate</t>
        </is>
      </c>
      <c r="D140" s="37" t="inlineStr">
        <is>
          <t>–</t>
        </is>
      </c>
      <c r="E140" s="57" t="inlineStr">
        <is>
          <t>활성</t>
        </is>
      </c>
      <c r="F140" s="34" t="inlineStr">
        <is>
          <t>장벽·피부 컨디션 무드</t>
        </is>
      </c>
      <c r="G140" s="34" t="inlineStr">
        <is>
          <t>발효</t>
        </is>
      </c>
      <c r="H140" s="34" t="inlineStr">
        <is>
          <t>젖산균</t>
        </is>
      </c>
      <c r="I140" s="34" t="inlineStr">
        <is>
          <t>배양 → 세포 용해 → 여과</t>
        </is>
      </c>
      <c r="J140" s="34" t="inlineStr">
        <is>
          <t>발효 용해물(살아있는 균 아님)</t>
        </is>
      </c>
      <c r="K140" s="34" t="inlineStr">
        <is>
          <t>액상</t>
        </is>
      </c>
      <c r="L140" s="34" t="inlineStr">
        <is>
          <t>무색~연황</t>
        </is>
      </c>
      <c r="M140" s="34" t="inlineStr">
        <is>
          <t>약한 발효취</t>
        </is>
      </c>
      <c r="N140" s="34" t="inlineStr">
        <is>
          <t>수용성</t>
        </is>
      </c>
      <c r="O140" s="34" t="inlineStr">
        <is>
          <t>냉각상</t>
        </is>
      </c>
      <c r="P140" s="34" t="inlineStr">
        <is>
          <t>무감</t>
        </is>
      </c>
      <c r="Q140" s="34" t="inlineStr">
        <is>
          <t>—</t>
        </is>
      </c>
      <c r="R140" s="34" t="inlineStr">
        <is>
          <t>—</t>
        </is>
      </c>
      <c r="S140" s="34" t="inlineStr">
        <is>
          <t>2~10%</t>
        </is>
      </c>
      <c r="T140" s="34" t="inlineStr">
        <is>
          <t>미생물 취약</t>
        </is>
      </c>
      <c r="U140" s="34" t="inlineStr">
        <is>
          <t>★ '살아있는 유산균' 오인 광고 주의(용해물)</t>
        </is>
      </c>
      <c r="V140" s="34" t="inlineStr">
        <is>
          <t>₩15,000/100ml</t>
        </is>
      </c>
      <c r="W140" s="37" t="inlineStr">
        <is>
          <t>★★★★☆</t>
        </is>
      </c>
      <c r="X140" s="34" t="inlineStr">
        <is>
          <t>냉장</t>
        </is>
      </c>
      <c r="Y140" s="34" t="inlineStr">
        <is>
          <t>제한 없음</t>
        </is>
      </c>
      <c r="Z140" s="34" t="inlineStr">
        <is>
          <t>광고 표현 사례</t>
        </is>
      </c>
      <c r="AA140" s="34" t="inlineStr">
        <is>
          <t>갈락토미세스·비피다</t>
        </is>
      </c>
      <c r="AB140" s="34" t="inlineStr">
        <is>
          <t>마이크로바이옴 트렌드 원료</t>
        </is>
      </c>
      <c r="AC140" s="34" t="inlineStr">
        <is>
          <t>—</t>
        </is>
      </c>
      <c r="AD140" s="34" t="inlineStr">
        <is>
          <t>허브누리</t>
        </is>
      </c>
      <c r="AE140" s="38" t="n"/>
      <c r="AF140" s="39" t="n"/>
      <c r="AG140" s="38" t="n"/>
    </row>
    <row r="141" ht="92" customHeight="1">
      <c r="A141" s="55" t="n">
        <v>137</v>
      </c>
      <c r="B141" s="56" t="inlineStr">
        <is>
          <t>리피듀어</t>
        </is>
      </c>
      <c r="C141" s="34" t="inlineStr">
        <is>
          <t>Polyquaternium-51</t>
        </is>
      </c>
      <c r="D141" s="37" t="inlineStr">
        <is>
          <t>–</t>
        </is>
      </c>
      <c r="E141" s="57" t="inlineStr">
        <is>
          <t>활성</t>
        </is>
      </c>
      <c r="F141" s="34" t="inlineStr">
        <is>
          <t>보습막(MPC 폴리머)</t>
        </is>
      </c>
      <c r="G141" s="34" t="inlineStr">
        <is>
          <t>합성</t>
        </is>
      </c>
      <c r="H141" s="34" t="inlineStr">
        <is>
          <t>인지질 유사 단량체(MPC)</t>
        </is>
      </c>
      <c r="I141" s="34" t="inlineStr">
        <is>
          <t>중합 → 수용액</t>
        </is>
      </c>
      <c r="J141" s="34" t="inlineStr">
        <is>
          <t>양쪽성 고분자</t>
        </is>
      </c>
      <c r="K141" s="34" t="inlineStr">
        <is>
          <t>액상(원료액)</t>
        </is>
      </c>
      <c r="L141" s="34" t="inlineStr">
        <is>
          <t>무색</t>
        </is>
      </c>
      <c r="M141" s="34" t="inlineStr">
        <is>
          <t>무취</t>
        </is>
      </c>
      <c r="N141" s="34" t="inlineStr">
        <is>
          <t>수용성</t>
        </is>
      </c>
      <c r="O141" s="34" t="inlineStr">
        <is>
          <t>냉각상</t>
        </is>
      </c>
      <c r="P141" s="34" t="inlineStr">
        <is>
          <t>촉촉한 막, 덜 끈적</t>
        </is>
      </c>
      <c r="Q141" s="34" t="inlineStr">
        <is>
          <t>미끈</t>
        </is>
      </c>
      <c r="R141" s="34" t="inlineStr">
        <is>
          <t>얇은 막</t>
        </is>
      </c>
      <c r="S141" s="34" t="inlineStr">
        <is>
          <t>원료액 1~5%</t>
        </is>
      </c>
      <c r="T141" s="34" t="inlineStr">
        <is>
          <t>안정</t>
        </is>
      </c>
      <c r="U141" s="34" t="inlineStr">
        <is>
          <t>HA 대비 보습 지속 소구</t>
        </is>
      </c>
      <c r="V141" s="34" t="inlineStr">
        <is>
          <t>₩20,000/50ml</t>
        </is>
      </c>
      <c r="W141" s="37" t="inlineStr">
        <is>
          <t>★★★☆☆</t>
        </is>
      </c>
      <c r="X141" s="34" t="inlineStr">
        <is>
          <t>서늘</t>
        </is>
      </c>
      <c r="Y141" s="34" t="inlineStr">
        <is>
          <t>제한 없음</t>
        </is>
      </c>
      <c r="Z141" s="34" t="inlineStr">
        <is>
          <t>—</t>
        </is>
      </c>
      <c r="AA141" s="34" t="inlineStr">
        <is>
          <t>다중 히알루론산·PGA</t>
        </is>
      </c>
      <c r="AB141" s="34" t="inlineStr">
        <is>
          <t>'인공 세포막' 보습 스토리</t>
        </is>
      </c>
      <c r="AC141" s="34" t="inlineStr">
        <is>
          <t>—</t>
        </is>
      </c>
      <c r="AD141" s="34" t="inlineStr">
        <is>
          <t>허브누리</t>
        </is>
      </c>
      <c r="AE141" s="38" t="n"/>
      <c r="AF141" s="39" t="n"/>
      <c r="AG141" s="38" t="n"/>
    </row>
    <row r="142" ht="92" customHeight="1">
      <c r="A142" s="55" t="n">
        <v>138</v>
      </c>
      <c r="B142" s="56" t="inlineStr">
        <is>
          <t>덱스판테놀</t>
        </is>
      </c>
      <c r="C142" s="34" t="inlineStr">
        <is>
          <t>Dexpanthenol (D-Panthenol)</t>
        </is>
      </c>
      <c r="D142" s="37" t="inlineStr">
        <is>
          <t>–</t>
        </is>
      </c>
      <c r="E142" s="57" t="inlineStr">
        <is>
          <t>활성</t>
        </is>
      </c>
      <c r="F142" s="34" t="inlineStr">
        <is>
          <t>보습·진정·두피</t>
        </is>
      </c>
      <c r="G142" s="34" t="inlineStr">
        <is>
          <t>합성</t>
        </is>
      </c>
      <c r="H142" s="34" t="inlineStr">
        <is>
          <t>판토락톤 + 3-아미노프로판올</t>
        </is>
      </c>
      <c r="I142" s="34" t="inlineStr">
        <is>
          <t>합성 (D형만 활성)</t>
        </is>
      </c>
      <c r="J142" s="34" t="inlineStr">
        <is>
          <t>프로비타민 B5(D형)</t>
        </is>
      </c>
      <c r="K142" s="34" t="inlineStr">
        <is>
          <t>점성 액</t>
        </is>
      </c>
      <c r="L142" s="34" t="inlineStr">
        <is>
          <t>무색</t>
        </is>
      </c>
      <c r="M142" s="34" t="inlineStr">
        <is>
          <t>무취</t>
        </is>
      </c>
      <c r="N142" s="34" t="inlineStr">
        <is>
          <t>수용성</t>
        </is>
      </c>
      <c r="O142" s="34" t="inlineStr">
        <is>
          <t>냉각상</t>
        </is>
      </c>
      <c r="P142" s="34" t="inlineStr">
        <is>
          <t>촉촉</t>
        </is>
      </c>
      <c r="Q142" s="34" t="inlineStr">
        <is>
          <t>—</t>
        </is>
      </c>
      <c r="R142" s="34" t="inlineStr">
        <is>
          <t>부드러움</t>
        </is>
      </c>
      <c r="S142" s="34" t="inlineStr">
        <is>
          <t>1~5%</t>
        </is>
      </c>
      <c r="T142" s="34" t="inlineStr">
        <is>
          <t>pH 4~7</t>
        </is>
      </c>
      <c r="U142" s="34" t="inlineStr">
        <is>
          <t>판테놀(DL)과 구분: 탈모 기능성은 덱스판테놀</t>
        </is>
      </c>
      <c r="V142" s="34" t="inlineStr">
        <is>
          <t>₩10,000/50ml</t>
        </is>
      </c>
      <c r="W142" s="37" t="inlineStr">
        <is>
          <t>★★★★☆</t>
        </is>
      </c>
      <c r="X142" s="34" t="inlineStr">
        <is>
          <t>서늘</t>
        </is>
      </c>
      <c r="Y142" s="34" t="inlineStr">
        <is>
          <t>★ 탈모 증상 완화 기능성 고시 성분</t>
        </is>
      </c>
      <c r="Z142" s="34" t="inlineStr">
        <is>
          <t>★ 탈모 완화 고시 성분 목록</t>
        </is>
      </c>
      <c r="AA142" s="34" t="inlineStr">
        <is>
          <t>판테놀(DL)·비오틴</t>
        </is>
      </c>
      <c r="AB142" s="34" t="inlineStr">
        <is>
          <t>두피 기능성 라인 핵심</t>
        </is>
      </c>
      <c r="AC142" s="34" t="inlineStr">
        <is>
          <t>—</t>
        </is>
      </c>
      <c r="AD142" s="34" t="inlineStr">
        <is>
          <t>허브누리</t>
        </is>
      </c>
      <c r="AE142" s="38" t="n"/>
      <c r="AF142" s="39" t="n"/>
      <c r="AG142" s="38" t="n"/>
    </row>
    <row r="143" ht="92" customHeight="1">
      <c r="A143" s="55" t="n">
        <v>139</v>
      </c>
      <c r="B143" s="56" t="inlineStr">
        <is>
          <t>비오틴</t>
        </is>
      </c>
      <c r="C143" s="34" t="inlineStr">
        <is>
          <t>Biotin</t>
        </is>
      </c>
      <c r="D143" s="37" t="inlineStr">
        <is>
          <t>–</t>
        </is>
      </c>
      <c r="E143" s="57" t="inlineStr">
        <is>
          <t>활성</t>
        </is>
      </c>
      <c r="F143" s="34" t="inlineStr">
        <is>
          <t>두피·모발 무드</t>
        </is>
      </c>
      <c r="G143" s="34" t="inlineStr">
        <is>
          <t>합성</t>
        </is>
      </c>
      <c r="H143" s="34" t="inlineStr">
        <is>
          <t>합성(비타민 B7)</t>
        </is>
      </c>
      <c r="I143" s="34" t="inlineStr">
        <is>
          <t>합성 → 결정</t>
        </is>
      </c>
      <c r="J143" s="34" t="inlineStr">
        <is>
          <t>비타민 B7</t>
        </is>
      </c>
      <c r="K143" s="34" t="inlineStr">
        <is>
          <t>분말</t>
        </is>
      </c>
      <c r="L143" s="34" t="inlineStr">
        <is>
          <t>백색</t>
        </is>
      </c>
      <c r="M143" s="34" t="inlineStr">
        <is>
          <t>무취</t>
        </is>
      </c>
      <c r="N143" s="34" t="inlineStr">
        <is>
          <t>물 난용(알칼리에서 ↑)</t>
        </is>
      </c>
      <c r="O143" s="34" t="inlineStr">
        <is>
          <t>A상 소량 / 용제</t>
        </is>
      </c>
      <c r="P143" s="34" t="inlineStr">
        <is>
          <t>무감</t>
        </is>
      </c>
      <c r="Q143" s="34" t="inlineStr">
        <is>
          <t>—</t>
        </is>
      </c>
      <c r="R143" s="34" t="inlineStr">
        <is>
          <t>—</t>
        </is>
      </c>
      <c r="S143" s="34" t="inlineStr">
        <is>
          <t>0.01~0.1%</t>
        </is>
      </c>
      <c r="T143" s="34" t="inlineStr">
        <is>
          <t>안정</t>
        </is>
      </c>
      <c r="U143" s="34" t="inlineStr">
        <is>
          <t>극미량 → 희석액</t>
        </is>
      </c>
      <c r="V143" s="34" t="inlineStr">
        <is>
          <t>₩10,000/10g</t>
        </is>
      </c>
      <c r="W143" s="37" t="inlineStr">
        <is>
          <t>★★★☆☆</t>
        </is>
      </c>
      <c r="X143" s="34" t="inlineStr">
        <is>
          <t>방습</t>
        </is>
      </c>
      <c r="Y143" s="34" t="inlineStr">
        <is>
          <t>★ 탈모 증상 완화 기능성 고시 성분</t>
        </is>
      </c>
      <c r="Z143" s="34" t="inlineStr">
        <is>
          <t>★ 탈모 고시 성분</t>
        </is>
      </c>
      <c r="AA143" s="34" t="inlineStr">
        <is>
          <t>덱스판테놀·엘-멘톨</t>
        </is>
      </c>
      <c r="AB143" s="34" t="inlineStr">
        <is>
          <t>탈모 기능성 보고 성분</t>
        </is>
      </c>
      <c r="AC143" s="34" t="inlineStr">
        <is>
          <t>—</t>
        </is>
      </c>
      <c r="AD143" s="34" t="inlineStr">
        <is>
          <t>허브누리</t>
        </is>
      </c>
      <c r="AE143" s="38" t="n"/>
      <c r="AF143" s="39" t="n"/>
      <c r="AG143" s="38" t="n"/>
    </row>
    <row r="144" ht="92" customHeight="1">
      <c r="A144" s="55" t="n">
        <v>140</v>
      </c>
      <c r="B144" s="56" t="inlineStr">
        <is>
          <t>엘-멘톨</t>
        </is>
      </c>
      <c r="C144" s="34" t="inlineStr">
        <is>
          <t>Menthol</t>
        </is>
      </c>
      <c r="D144" s="37" t="inlineStr">
        <is>
          <t>–</t>
        </is>
      </c>
      <c r="E144" s="57" t="inlineStr">
        <is>
          <t>활성</t>
        </is>
      </c>
      <c r="F144" s="34" t="inlineStr">
        <is>
          <t>청량감·두피</t>
        </is>
      </c>
      <c r="G144" s="34" t="inlineStr">
        <is>
          <t>식물/합성</t>
        </is>
      </c>
      <c r="H144" s="34" t="inlineStr">
        <is>
          <t>박하(페퍼민트 정유) / 합성</t>
        </is>
      </c>
      <c r="I144" s="34" t="inlineStr">
        <is>
          <t>정유 냉각 결정화 or 합성</t>
        </is>
      </c>
      <c r="J144" s="34" t="inlineStr">
        <is>
          <t>모노테르펜 알코올</t>
        </is>
      </c>
      <c r="K144" s="34" t="inlineStr">
        <is>
          <t>결정</t>
        </is>
      </c>
      <c r="L144" s="34" t="inlineStr">
        <is>
          <t>무색 투명</t>
        </is>
      </c>
      <c r="M144" s="34" t="inlineStr">
        <is>
          <t>강한 박하향</t>
        </is>
      </c>
      <c r="N144" s="34" t="inlineStr">
        <is>
          <t>유용성·에탄올(물 난용)</t>
        </is>
      </c>
      <c r="O144" s="34" t="inlineStr">
        <is>
          <t>냉각상, 용제(에탄올·글라이콜)에 녹임</t>
        </is>
      </c>
      <c r="P144" s="34" t="inlineStr">
        <is>
          <t>시원·화함</t>
        </is>
      </c>
      <c r="Q144" s="34" t="inlineStr">
        <is>
          <t>—</t>
        </is>
      </c>
      <c r="R144" s="34" t="inlineStr">
        <is>
          <t>—</t>
        </is>
      </c>
      <c r="S144" s="34" t="inlineStr">
        <is>
          <t>0.1~0.5%</t>
        </is>
      </c>
      <c r="T144" s="34" t="inlineStr">
        <is>
          <t>휘발</t>
        </is>
      </c>
      <c r="U144" s="34" t="inlineStr">
        <is>
          <t>★ 눈 주위 금지·고%면 화끈</t>
        </is>
      </c>
      <c r="V144" s="34" t="inlineStr">
        <is>
          <t>₩8,000/50g</t>
        </is>
      </c>
      <c r="W144" s="37" t="inlineStr">
        <is>
          <t>★★★★☆</t>
        </is>
      </c>
      <c r="X144" s="34" t="inlineStr">
        <is>
          <t>밀봉</t>
        </is>
      </c>
      <c r="Y144" s="34" t="inlineStr">
        <is>
          <t>★ 탈모 증상 완화 기능성 고시 성분(엘-멘톨)</t>
        </is>
      </c>
      <c r="Z144" s="34" t="inlineStr">
        <is>
          <t>★ 탈모 고시 성분</t>
        </is>
      </c>
      <c r="AA144" s="34" t="inlineStr">
        <is>
          <t>페퍼민트EO·멘틸락테이트</t>
        </is>
      </c>
      <c r="AB144" s="34" t="inlineStr">
        <is>
          <t>쿨링 두피·바디 젤</t>
        </is>
      </c>
      <c r="AC144" s="34" t="inlineStr">
        <is>
          <t>0.1% vs 0.3% 손등 쿨링 체감</t>
        </is>
      </c>
      <c r="AD144" s="34" t="inlineStr">
        <is>
          <t>허브누리</t>
        </is>
      </c>
      <c r="AE144" s="38" t="n"/>
      <c r="AF144" s="39" t="n"/>
      <c r="AG144" s="38" t="n"/>
    </row>
    <row r="145" ht="92" customHeight="1">
      <c r="A145" s="55" t="n">
        <v>141</v>
      </c>
      <c r="B145" s="56" t="inlineStr">
        <is>
          <t>EGF (sh-올리고펩타이드-1)</t>
        </is>
      </c>
      <c r="C145" s="34" t="inlineStr">
        <is>
          <t>sh-Oligopeptide-1</t>
        </is>
      </c>
      <c r="D145" s="37" t="inlineStr">
        <is>
          <t>–</t>
        </is>
      </c>
      <c r="E145" s="57" t="inlineStr">
        <is>
          <t>활성</t>
        </is>
      </c>
      <c r="F145" s="34" t="inlineStr">
        <is>
          <t>재생 무드</t>
        </is>
      </c>
      <c r="G145" s="34" t="inlineStr">
        <is>
          <t>합성(바이오)</t>
        </is>
      </c>
      <c r="H145" s="34" t="inlineStr">
        <is>
          <t>재조합 미생물(대장균/효모)</t>
        </is>
      </c>
      <c r="I145" s="34" t="inlineStr">
        <is>
          <t>유전자 재조합 발현 → 정제 → 극저농도 원료액</t>
        </is>
      </c>
      <c r="J145" s="34" t="inlineStr">
        <is>
          <t>재조합 펩타이드(성장인자 유사)</t>
        </is>
      </c>
      <c r="K145" s="34" t="inlineStr">
        <is>
          <t>원료액</t>
        </is>
      </c>
      <c r="L145" s="34" t="inlineStr">
        <is>
          <t>무색</t>
        </is>
      </c>
      <c r="M145" s="34" t="inlineStr">
        <is>
          <t>무취</t>
        </is>
      </c>
      <c r="N145" s="34" t="inlineStr">
        <is>
          <t>수용성</t>
        </is>
      </c>
      <c r="O145" s="34" t="inlineStr">
        <is>
          <t>냉각상</t>
        </is>
      </c>
      <c r="P145" s="34" t="inlineStr">
        <is>
          <t>무감</t>
        </is>
      </c>
      <c r="Q145" s="34" t="inlineStr">
        <is>
          <t>—</t>
        </is>
      </c>
      <c r="R145" s="34" t="inlineStr">
        <is>
          <t>—</t>
        </is>
      </c>
      <c r="S145" s="34" t="inlineStr">
        <is>
          <t>원료액 1~5%(실제 ppm)</t>
        </is>
      </c>
      <c r="T145" s="34" t="inlineStr">
        <is>
          <t>★ 열·단백분해에 약함</t>
        </is>
      </c>
      <c r="U145" s="34" t="inlineStr">
        <is>
          <t>'성장인자·재생' 표현 = 의약품 오인 위험</t>
        </is>
      </c>
      <c r="V145" s="34" t="inlineStr">
        <is>
          <t>₩20,000/30ml</t>
        </is>
      </c>
      <c r="W145" s="37" t="inlineStr">
        <is>
          <t>★★★☆☆</t>
        </is>
      </c>
      <c r="X145" s="34" t="inlineStr">
        <is>
          <t>냉장</t>
        </is>
      </c>
      <c r="Y145" s="34" t="inlineStr">
        <is>
          <t>제한 없음 (표시명 sh-올리고펩타이드-1)</t>
        </is>
      </c>
      <c r="Z145" s="34" t="inlineStr">
        <is>
          <t>표시 성분명 vs 마케팅명</t>
        </is>
      </c>
      <c r="AA145" s="34" t="inlineStr">
        <is>
          <t>FGF·펩타이드</t>
        </is>
      </c>
      <c r="AB145" s="34" t="inlineStr">
        <is>
          <t>K-뷰티 고단가 소구, 광고 문구 주의</t>
        </is>
      </c>
      <c r="AC145" s="34" t="inlineStr">
        <is>
          <t>—</t>
        </is>
      </c>
      <c r="AD145" s="34" t="inlineStr">
        <is>
          <t>허브누리</t>
        </is>
      </c>
      <c r="AE145" s="38" t="n"/>
      <c r="AF145" s="39" t="n"/>
      <c r="AG145" s="38" t="n"/>
    </row>
    <row r="146" ht="92" customHeight="1">
      <c r="A146" s="55" t="n">
        <v>142</v>
      </c>
      <c r="B146" s="56" t="inlineStr">
        <is>
          <t>씨네이크(디펩타이드)</t>
        </is>
      </c>
      <c r="C146" s="34" t="inlineStr">
        <is>
          <t>Dipeptide Diaminobutyroyl Benzylamide Diacetate</t>
        </is>
      </c>
      <c r="D146" s="37" t="inlineStr">
        <is>
          <t>–</t>
        </is>
      </c>
      <c r="E146" s="57" t="inlineStr">
        <is>
          <t>활성</t>
        </is>
      </c>
      <c r="F146" s="34" t="inlineStr">
        <is>
          <t>표정 주름 무드</t>
        </is>
      </c>
      <c r="G146" s="34" t="inlineStr">
        <is>
          <t>합성</t>
        </is>
      </c>
      <c r="H146" s="34" t="inlineStr">
        <is>
          <t>합성 펩타이드</t>
        </is>
      </c>
      <c r="I146" s="34" t="inlineStr">
        <is>
          <t>고상 합성 → 원료액</t>
        </is>
      </c>
      <c r="J146" s="34" t="inlineStr">
        <is>
          <t>합성 디펩타이드</t>
        </is>
      </c>
      <c r="K146" s="34" t="inlineStr">
        <is>
          <t>원료액</t>
        </is>
      </c>
      <c r="L146" s="34" t="inlineStr">
        <is>
          <t>무색</t>
        </is>
      </c>
      <c r="M146" s="34" t="inlineStr">
        <is>
          <t>무취</t>
        </is>
      </c>
      <c r="N146" s="34" t="inlineStr">
        <is>
          <t>수용성</t>
        </is>
      </c>
      <c r="O146" s="34" t="inlineStr">
        <is>
          <t>냉각상</t>
        </is>
      </c>
      <c r="P146" s="34" t="inlineStr">
        <is>
          <t>무감</t>
        </is>
      </c>
      <c r="Q146" s="34" t="inlineStr">
        <is>
          <t>—</t>
        </is>
      </c>
      <c r="R146" s="34" t="inlineStr">
        <is>
          <t>—</t>
        </is>
      </c>
      <c r="S146" s="34" t="inlineStr">
        <is>
          <t>원료액 1~4%</t>
        </is>
      </c>
      <c r="T146" s="34" t="inlineStr">
        <is>
          <t>pH 4~7</t>
        </is>
      </c>
      <c r="U146" s="34" t="inlineStr">
        <is>
          <t>'뱀독' 마케팅이지만 합성 성분(뱀 유래 X)</t>
        </is>
      </c>
      <c r="V146" s="34" t="inlineStr">
        <is>
          <t>₩30,000/30ml</t>
        </is>
      </c>
      <c r="W146" s="37" t="inlineStr">
        <is>
          <t>★★★☆☆</t>
        </is>
      </c>
      <c r="X146" s="34" t="inlineStr">
        <is>
          <t>냉장</t>
        </is>
      </c>
      <c r="Y146" s="34" t="inlineStr">
        <is>
          <t>고시 성분 아님</t>
        </is>
      </c>
      <c r="Z146" s="34" t="inlineStr">
        <is>
          <t>마케팅명 vs 실체</t>
        </is>
      </c>
      <c r="AA146" s="34" t="inlineStr">
        <is>
          <t>아세틸헥사펩타이드-8</t>
        </is>
      </c>
      <c r="AB146" s="34" t="inlineStr">
        <is>
          <t>네이밍 마케팅 사례 학습</t>
        </is>
      </c>
      <c r="AC146" s="34" t="inlineStr">
        <is>
          <t>—</t>
        </is>
      </c>
      <c r="AD146" s="34" t="inlineStr">
        <is>
          <t>허브누리</t>
        </is>
      </c>
      <c r="AE146" s="38" t="n"/>
      <c r="AF146" s="39" t="n"/>
      <c r="AG146" s="38" t="n"/>
    </row>
    <row r="147" ht="92" customHeight="1">
      <c r="A147" s="55" t="n">
        <v>143</v>
      </c>
      <c r="B147" s="56" t="inlineStr">
        <is>
          <t>PDRN(소듐DNA)</t>
        </is>
      </c>
      <c r="C147" s="34" t="inlineStr">
        <is>
          <t>Sodium DNA / (식물 PDRN)</t>
        </is>
      </c>
      <c r="D147" s="37" t="inlineStr">
        <is>
          <t>–</t>
        </is>
      </c>
      <c r="E147" s="57" t="inlineStr">
        <is>
          <t>활성</t>
        </is>
      </c>
      <c r="F147" s="34" t="inlineStr">
        <is>
          <t>재생 무드</t>
        </is>
      </c>
      <c r="G147" s="34" t="inlineStr">
        <is>
          <t>동물/식물</t>
        </is>
      </c>
      <c r="H147" s="34" t="inlineStr">
        <is>
          <t>연어 정소 / 식물(최근)</t>
        </is>
      </c>
      <c r="I147" s="34" t="inlineStr">
        <is>
          <t>DNA 추출 → 정제 → 분자량 조절</t>
        </is>
      </c>
      <c r="J147" s="34" t="inlineStr">
        <is>
          <t>폴리뉴클레오타이드</t>
        </is>
      </c>
      <c r="K147" s="34" t="inlineStr">
        <is>
          <t>분말/원료액</t>
        </is>
      </c>
      <c r="L147" s="34" t="inlineStr">
        <is>
          <t>백색</t>
        </is>
      </c>
      <c r="M147" s="34" t="inlineStr">
        <is>
          <t>무취</t>
        </is>
      </c>
      <c r="N147" s="34" t="inlineStr">
        <is>
          <t>수용성</t>
        </is>
      </c>
      <c r="O147" s="34" t="inlineStr">
        <is>
          <t>냉각상</t>
        </is>
      </c>
      <c r="P147" s="34" t="inlineStr">
        <is>
          <t>무감</t>
        </is>
      </c>
      <c r="Q147" s="34" t="inlineStr">
        <is>
          <t>—</t>
        </is>
      </c>
      <c r="R147" s="34" t="inlineStr">
        <is>
          <t>—</t>
        </is>
      </c>
      <c r="S147" s="34" t="inlineStr">
        <is>
          <t>원료액 1~5%</t>
        </is>
      </c>
      <c r="T147" s="34" t="inlineStr">
        <is>
          <t>열·효소 분해</t>
        </is>
      </c>
      <c r="U147" s="34" t="inlineStr">
        <is>
          <t>'연어 주사' 의약품(PDRN)과 혼동 표현 금지. 동물 유래 확인</t>
        </is>
      </c>
      <c r="V147" s="34" t="inlineStr">
        <is>
          <t>₩30,000/30ml</t>
        </is>
      </c>
      <c r="W147" s="37" t="inlineStr">
        <is>
          <t>★★★☆☆</t>
        </is>
      </c>
      <c r="X147" s="34" t="inlineStr">
        <is>
          <t>냉장</t>
        </is>
      </c>
      <c r="Y147" s="34" t="inlineStr">
        <is>
          <t>제한 없음</t>
        </is>
      </c>
      <c r="Z147" s="34" t="inlineStr">
        <is>
          <t>—</t>
        </is>
      </c>
      <c r="AA147" s="34" t="inlineStr">
        <is>
          <t>EGF·펩타이드</t>
        </is>
      </c>
      <c r="AB147" s="34" t="inlineStr">
        <is>
          <t>2024~ K-뷰티 트렌드. 표방 리스크↑</t>
        </is>
      </c>
      <c r="AC147" s="34" t="inlineStr">
        <is>
          <t>—</t>
        </is>
      </c>
      <c r="AD147" s="34" t="inlineStr">
        <is>
          <t>허브누리</t>
        </is>
      </c>
      <c r="AE147" s="38" t="n"/>
      <c r="AF147" s="39" t="n"/>
      <c r="AG147" s="38" t="n"/>
    </row>
    <row r="148" ht="92" customHeight="1">
      <c r="A148" s="55" t="n">
        <v>144</v>
      </c>
      <c r="B148" s="56" t="inlineStr">
        <is>
          <t>가수분해콜라겐(마린·식물 콜라겐)</t>
        </is>
      </c>
      <c r="C148" s="34" t="inlineStr">
        <is>
          <t>Hydrolyzed Collagen / (식물: 대체 성분)</t>
        </is>
      </c>
      <c r="D148" s="37" t="inlineStr">
        <is>
          <t>–</t>
        </is>
      </c>
      <c r="E148" s="57" t="inlineStr">
        <is>
          <t>활성</t>
        </is>
      </c>
      <c r="F148" s="34" t="inlineStr">
        <is>
          <t>보습막·탄력 무드</t>
        </is>
      </c>
      <c r="G148" s="34" t="inlineStr">
        <is>
          <t>동물/식물</t>
        </is>
      </c>
      <c r="H148" s="34" t="inlineStr">
        <is>
          <t>어류 껍질·비늘 / 식물 '콜라겐'은 다른 성분</t>
        </is>
      </c>
      <c r="I148" s="34" t="inlineStr">
        <is>
          <t>가수분해 → 펩타이드화</t>
        </is>
      </c>
      <c r="J148" s="34" t="inlineStr">
        <is>
          <t>단백질 가수분해물</t>
        </is>
      </c>
      <c r="K148" s="34" t="inlineStr">
        <is>
          <t>액상/분말</t>
        </is>
      </c>
      <c r="L148" s="34" t="inlineStr">
        <is>
          <t>무색~연황</t>
        </is>
      </c>
      <c r="M148" s="34" t="inlineStr">
        <is>
          <t>약한 비린내(어류)</t>
        </is>
      </c>
      <c r="N148" s="34" t="inlineStr">
        <is>
          <t>수용성</t>
        </is>
      </c>
      <c r="O148" s="34" t="inlineStr">
        <is>
          <t>냉각상</t>
        </is>
      </c>
      <c r="P148" s="34" t="inlineStr">
        <is>
          <t>촉촉·약간 당김</t>
        </is>
      </c>
      <c r="Q148" s="34" t="inlineStr">
        <is>
          <t>—</t>
        </is>
      </c>
      <c r="R148" s="34" t="inlineStr">
        <is>
          <t>얇은 막</t>
        </is>
      </c>
      <c r="S148" s="34" t="inlineStr">
        <is>
          <t>1~5%</t>
        </is>
      </c>
      <c r="T148" s="34" t="inlineStr">
        <is>
          <t>미생물 취약</t>
        </is>
      </c>
      <c r="U148" s="34" t="inlineStr">
        <is>
          <t>★ '식물성 콜라겐'은 실제 콜라겐 아님 → 표현 주의. 어류 알레르기</t>
        </is>
      </c>
      <c r="V148" s="34" t="inlineStr">
        <is>
          <t>₩10,000/100ml</t>
        </is>
      </c>
      <c r="W148" s="37" t="inlineStr">
        <is>
          <t>★★★★☆</t>
        </is>
      </c>
      <c r="X148" s="34" t="inlineStr">
        <is>
          <t>냉장</t>
        </is>
      </c>
      <c r="Y148" s="34" t="inlineStr">
        <is>
          <t>제한 없음</t>
        </is>
      </c>
      <c r="Z148" s="34" t="inlineStr">
        <is>
          <t>—</t>
        </is>
      </c>
      <c r="AA148" s="34" t="inlineStr">
        <is>
          <t>실크아미노산·HA</t>
        </is>
      </c>
      <c r="AB148" s="34" t="inlineStr">
        <is>
          <t>막 보습. 피부 속 콜라겐 증가 표방 금지</t>
        </is>
      </c>
      <c r="AC148" s="34" t="inlineStr">
        <is>
          <t>—</t>
        </is>
      </c>
      <c r="AD148" s="34" t="inlineStr">
        <is>
          <t>허브누리</t>
        </is>
      </c>
      <c r="AE148" s="38" t="n"/>
      <c r="AF148" s="39" t="n"/>
      <c r="AG148" s="38" t="n"/>
    </row>
    <row r="149" ht="92" customHeight="1">
      <c r="A149" s="55" t="n">
        <v>145</v>
      </c>
      <c r="B149" s="56" t="inlineStr">
        <is>
          <t>실크아미노산</t>
        </is>
      </c>
      <c r="C149" s="34" t="inlineStr">
        <is>
          <t>Silk Amino Acids</t>
        </is>
      </c>
      <c r="D149" s="37" t="inlineStr">
        <is>
          <t>–</t>
        </is>
      </c>
      <c r="E149" s="57" t="inlineStr">
        <is>
          <t>활성</t>
        </is>
      </c>
      <c r="F149" s="34" t="inlineStr">
        <is>
          <t>보습·모발 윤기</t>
        </is>
      </c>
      <c r="G149" s="34" t="inlineStr">
        <is>
          <t>동물</t>
        </is>
      </c>
      <c r="H149" s="34" t="inlineStr">
        <is>
          <t>누에고치 단백질(세리신·피브로인)</t>
        </is>
      </c>
      <c r="I149" s="34" t="inlineStr">
        <is>
          <t>가수분해</t>
        </is>
      </c>
      <c r="J149" s="34" t="inlineStr">
        <is>
          <t>아미노산 혼합</t>
        </is>
      </c>
      <c r="K149" s="34" t="inlineStr">
        <is>
          <t>액상/분말</t>
        </is>
      </c>
      <c r="L149" s="34" t="inlineStr">
        <is>
          <t>연황</t>
        </is>
      </c>
      <c r="M149" s="34" t="inlineStr">
        <is>
          <t>약한 냄새</t>
        </is>
      </c>
      <c r="N149" s="34" t="inlineStr">
        <is>
          <t>수용성</t>
        </is>
      </c>
      <c r="O149" s="34" t="inlineStr">
        <is>
          <t>냉각상</t>
        </is>
      </c>
      <c r="P149" s="34" t="inlineStr">
        <is>
          <t>매끈</t>
        </is>
      </c>
      <c r="Q149" s="34" t="inlineStr">
        <is>
          <t>—</t>
        </is>
      </c>
      <c r="R149" s="34" t="inlineStr">
        <is>
          <t>부드러움</t>
        </is>
      </c>
      <c r="S149" s="34" t="inlineStr">
        <is>
          <t>1~5%</t>
        </is>
      </c>
      <c r="T149" s="34" t="inlineStr">
        <is>
          <t>미생물 취약</t>
        </is>
      </c>
      <c r="U149" s="34" t="inlineStr">
        <is>
          <t>동물 유래(비건 X)</t>
        </is>
      </c>
      <c r="V149" s="34" t="inlineStr">
        <is>
          <t>₩10,000/100ml</t>
        </is>
      </c>
      <c r="W149" s="37" t="inlineStr">
        <is>
          <t>★★★☆☆</t>
        </is>
      </c>
      <c r="X149" s="34" t="inlineStr">
        <is>
          <t>서늘</t>
        </is>
      </c>
      <c r="Y149" s="34" t="inlineStr">
        <is>
          <t>제한 없음</t>
        </is>
      </c>
      <c r="Z149" s="34" t="inlineStr">
        <is>
          <t>—</t>
        </is>
      </c>
      <c r="AA149" s="34" t="inlineStr">
        <is>
          <t>가수분해콜라겐·소듐PCA</t>
        </is>
      </c>
      <c r="AB149" s="34" t="inlineStr">
        <is>
          <t>헤어·보습 보조</t>
        </is>
      </c>
      <c r="AC149" s="34" t="inlineStr">
        <is>
          <t>—</t>
        </is>
      </c>
      <c r="AD149" s="34" t="inlineStr">
        <is>
          <t>허브누리</t>
        </is>
      </c>
      <c r="AE149" s="38" t="n"/>
      <c r="AF149" s="39" t="n"/>
      <c r="AG149" s="38" t="n"/>
    </row>
    <row r="150" ht="92" customHeight="1">
      <c r="A150" s="55" t="n">
        <v>146</v>
      </c>
      <c r="B150" s="56" t="inlineStr">
        <is>
          <t>달팽이점액여과물</t>
        </is>
      </c>
      <c r="C150" s="34" t="inlineStr">
        <is>
          <t>Snail Secretion Filtrate</t>
        </is>
      </c>
      <c r="D150" s="37" t="inlineStr">
        <is>
          <t>–</t>
        </is>
      </c>
      <c r="E150" s="57" t="inlineStr">
        <is>
          <t>활성</t>
        </is>
      </c>
      <c r="F150" s="34" t="inlineStr">
        <is>
          <t>보습·진정 무드</t>
        </is>
      </c>
      <c r="G150" s="34" t="inlineStr">
        <is>
          <t>동물</t>
        </is>
      </c>
      <c r="H150" s="34" t="inlineStr">
        <is>
          <t>달팽이 분비물</t>
        </is>
      </c>
      <c r="I150" s="34" t="inlineStr">
        <is>
          <t>사육 달팽이 분비물 채취 → 여과·정제</t>
        </is>
      </c>
      <c r="J150" s="34" t="inlineStr">
        <is>
          <t>당단백·뮤신·알란토인 등 혼합</t>
        </is>
      </c>
      <c r="K150" s="34" t="inlineStr">
        <is>
          <t>점성 액</t>
        </is>
      </c>
      <c r="L150" s="34" t="inlineStr">
        <is>
          <t>무색~연황</t>
        </is>
      </c>
      <c r="M150" s="34" t="inlineStr">
        <is>
          <t>약한 냄새</t>
        </is>
      </c>
      <c r="N150" s="34" t="inlineStr">
        <is>
          <t>수용성</t>
        </is>
      </c>
      <c r="O150" s="34" t="inlineStr">
        <is>
          <t>냉각상 or 수상 대체</t>
        </is>
      </c>
      <c r="P150" s="34" t="inlineStr">
        <is>
          <t>미끈·쫀득</t>
        </is>
      </c>
      <c r="Q150" s="34" t="inlineStr">
        <is>
          <t>좋음</t>
        </is>
      </c>
      <c r="R150" s="34" t="inlineStr">
        <is>
          <t>얇은 막</t>
        </is>
      </c>
      <c r="S150" s="34" t="inlineStr">
        <is>
          <t>10~90%</t>
        </is>
      </c>
      <c r="T150" s="34" t="inlineStr">
        <is>
          <t>미생물 취약</t>
        </is>
      </c>
      <c r="U150" s="34" t="inlineStr">
        <is>
          <t>동물 유래(비건 X). 원료 방부제 확인</t>
        </is>
      </c>
      <c r="V150" s="34" t="inlineStr">
        <is>
          <t>₩15,000/100ml</t>
        </is>
      </c>
      <c r="W150" s="37" t="inlineStr">
        <is>
          <t>★★★★☆</t>
        </is>
      </c>
      <c r="X150" s="34" t="inlineStr">
        <is>
          <t>냉장</t>
        </is>
      </c>
      <c r="Y150" s="34" t="inlineStr">
        <is>
          <t>제한 없음</t>
        </is>
      </c>
      <c r="Z150" s="34" t="inlineStr">
        <is>
          <t>—</t>
        </is>
      </c>
      <c r="AA150" s="34" t="inlineStr">
        <is>
          <t>베타글루칸·알로에</t>
        </is>
      </c>
      <c r="AB150" s="34" t="inlineStr">
        <is>
          <t>K-뷰티 대표 원료(수출 인지도↑)</t>
        </is>
      </c>
      <c r="AC150" s="34" t="inlineStr">
        <is>
          <t>—</t>
        </is>
      </c>
      <c r="AD150" s="34" t="inlineStr">
        <is>
          <t>허브누리</t>
        </is>
      </c>
      <c r="AE150" s="38" t="n"/>
      <c r="AF150" s="39" t="n"/>
      <c r="AG150" s="38" t="n"/>
    </row>
    <row r="151" ht="92" customHeight="1">
      <c r="A151" s="55" t="n">
        <v>147</v>
      </c>
      <c r="B151" s="56" t="inlineStr">
        <is>
          <t>글루타치온</t>
        </is>
      </c>
      <c r="C151" s="34" t="inlineStr">
        <is>
          <t>Glutathione</t>
        </is>
      </c>
      <c r="D151" s="37" t="inlineStr">
        <is>
          <t>–</t>
        </is>
      </c>
      <c r="E151" s="57" t="inlineStr">
        <is>
          <t>활성</t>
        </is>
      </c>
      <c r="F151" s="34" t="inlineStr">
        <is>
          <t>톤·항산화 무드</t>
        </is>
      </c>
      <c r="G151" s="34" t="inlineStr">
        <is>
          <t>발효</t>
        </is>
      </c>
      <c r="H151" s="34" t="inlineStr">
        <is>
          <t>효모 발효</t>
        </is>
      </c>
      <c r="I151" s="34" t="inlineStr">
        <is>
          <t>효모 배양 → 추출 → 결정</t>
        </is>
      </c>
      <c r="J151" s="34" t="inlineStr">
        <is>
          <t>트리펩타이드(시스테인 함유)</t>
        </is>
      </c>
      <c r="K151" s="34" t="inlineStr">
        <is>
          <t>분말</t>
        </is>
      </c>
      <c r="L151" s="34" t="inlineStr">
        <is>
          <t>백색</t>
        </is>
      </c>
      <c r="M151" s="34" t="inlineStr">
        <is>
          <t>★ 황 냄새(산화 시↑)</t>
        </is>
      </c>
      <c r="N151" s="34" t="inlineStr">
        <is>
          <t>수용성</t>
        </is>
      </c>
      <c r="O151" s="34" t="inlineStr">
        <is>
          <t>냉각상</t>
        </is>
      </c>
      <c r="P151" s="34" t="inlineStr">
        <is>
          <t>무감</t>
        </is>
      </c>
      <c r="Q151" s="34" t="inlineStr">
        <is>
          <t>—</t>
        </is>
      </c>
      <c r="R151" s="34" t="inlineStr">
        <is>
          <t>—</t>
        </is>
      </c>
      <c r="S151" s="34" t="inlineStr">
        <is>
          <t>0.5~2%</t>
        </is>
      </c>
      <c r="T151" s="34" t="inlineStr">
        <is>
          <t>★ 산화 매우 쉬움 → 소량 생산</t>
        </is>
      </c>
      <c r="U151" s="34" t="inlineStr">
        <is>
          <t>미백 고시 성분 아님 → '미백' 표방 불가</t>
        </is>
      </c>
      <c r="V151" s="34" t="inlineStr">
        <is>
          <t>₩30,000/20g</t>
        </is>
      </c>
      <c r="W151" s="37" t="inlineStr">
        <is>
          <t>★★★☆☆</t>
        </is>
      </c>
      <c r="X151" s="34" t="inlineStr">
        <is>
          <t>냉장·방습</t>
        </is>
      </c>
      <c r="Y151" s="34" t="inlineStr">
        <is>
          <t>고시 성분 아님</t>
        </is>
      </c>
      <c r="Z151" s="34" t="inlineStr">
        <is>
          <t>기능성 표방 가능/불가 구분</t>
        </is>
      </c>
      <c r="AA151" s="34" t="inlineStr">
        <is>
          <t>나이아신아마이드</t>
        </is>
      </c>
      <c r="AB151" s="34" t="inlineStr">
        <is>
          <t>유행·소구력 vs 안정성 난제</t>
        </is>
      </c>
      <c r="AC151" s="34" t="inlineStr">
        <is>
          <t>—</t>
        </is>
      </c>
      <c r="AD151" s="34" t="inlineStr">
        <is>
          <t>허브누리</t>
        </is>
      </c>
      <c r="AE151" s="38" t="n"/>
      <c r="AF151" s="39" t="n"/>
      <c r="AG151" s="38" t="n"/>
    </row>
    <row r="152" ht="92" customHeight="1">
      <c r="A152" s="55" t="n">
        <v>148</v>
      </c>
      <c r="B152" s="56" t="inlineStr">
        <is>
          <t>프로폴리스추출물</t>
        </is>
      </c>
      <c r="C152" s="34" t="inlineStr">
        <is>
          <t>Propolis Extract</t>
        </is>
      </c>
      <c r="D152" s="37" t="inlineStr">
        <is>
          <t>–</t>
        </is>
      </c>
      <c r="E152" s="57" t="inlineStr">
        <is>
          <t>활성</t>
        </is>
      </c>
      <c r="F152" s="34" t="inlineStr">
        <is>
          <t>항산화·트러블 무드</t>
        </is>
      </c>
      <c r="G152" s="34" t="inlineStr">
        <is>
          <t>동물</t>
        </is>
      </c>
      <c r="H152" s="34" t="inlineStr">
        <is>
          <t>꿀벌이 모은 수지</t>
        </is>
      </c>
      <c r="I152" s="34" t="inlineStr">
        <is>
          <t>에탄올/글라이콜 추출 → 여과</t>
        </is>
      </c>
      <c r="J152" s="34" t="inlineStr">
        <is>
          <t>폴리페놀·플라보노이드</t>
        </is>
      </c>
      <c r="K152" s="34" t="inlineStr">
        <is>
          <t>액상</t>
        </is>
      </c>
      <c r="L152" s="34" t="inlineStr">
        <is>
          <t>진갈색</t>
        </is>
      </c>
      <c r="M152" s="34" t="inlineStr">
        <is>
          <t>강한 수지·꿀향</t>
        </is>
      </c>
      <c r="N152" s="34" t="inlineStr">
        <is>
          <t>수용성(글라이콜) / 알코올</t>
        </is>
      </c>
      <c r="O152" s="34" t="inlineStr">
        <is>
          <t>냉각상</t>
        </is>
      </c>
      <c r="P152" s="34" t="inlineStr">
        <is>
          <t>무감</t>
        </is>
      </c>
      <c r="Q152" s="34" t="inlineStr">
        <is>
          <t>—</t>
        </is>
      </c>
      <c r="R152" s="34" t="inlineStr">
        <is>
          <t>—</t>
        </is>
      </c>
      <c r="S152" s="34" t="inlineStr">
        <is>
          <t>1~10%</t>
        </is>
      </c>
      <c r="T152" s="34" t="inlineStr">
        <is>
          <t>색 진함</t>
        </is>
      </c>
      <c r="U152" s="34" t="inlineStr">
        <is>
          <t>★ 벌 제품 알레르기. 제품 갈색화</t>
        </is>
      </c>
      <c r="V152" s="34" t="inlineStr">
        <is>
          <t>₩15,000/50ml</t>
        </is>
      </c>
      <c r="W152" s="37" t="inlineStr">
        <is>
          <t>★★★★☆</t>
        </is>
      </c>
      <c r="X152" s="34" t="inlineStr">
        <is>
          <t>차광</t>
        </is>
      </c>
      <c r="Y152" s="34" t="inlineStr">
        <is>
          <t>제한 없음</t>
        </is>
      </c>
      <c r="Z152" s="34" t="inlineStr">
        <is>
          <t>—</t>
        </is>
      </c>
      <c r="AA152" s="34" t="inlineStr">
        <is>
          <t>허니·녹차</t>
        </is>
      </c>
      <c r="AB152" s="34" t="inlineStr">
        <is>
          <t>K-뷰티 '꿀광' 라인</t>
        </is>
      </c>
      <c r="AC152" s="34" t="inlineStr">
        <is>
          <t>—</t>
        </is>
      </c>
      <c r="AD152" s="34" t="inlineStr">
        <is>
          <t>허브누리</t>
        </is>
      </c>
      <c r="AE152" s="38" t="n"/>
      <c r="AF152" s="39" t="n"/>
      <c r="AG152" s="38" t="n"/>
    </row>
    <row r="153" ht="92" customHeight="1">
      <c r="A153" s="55" t="n">
        <v>149</v>
      </c>
      <c r="B153" s="56" t="inlineStr">
        <is>
          <t>어성초추출물</t>
        </is>
      </c>
      <c r="C153" s="34" t="inlineStr">
        <is>
          <t>Houttuynia Cordata Extract</t>
        </is>
      </c>
      <c r="D153" s="37" t="inlineStr">
        <is>
          <t>–</t>
        </is>
      </c>
      <c r="E153" s="57" t="inlineStr">
        <is>
          <t>활성</t>
        </is>
      </c>
      <c r="F153" s="34" t="inlineStr">
        <is>
          <t>진정·트러블 무드</t>
        </is>
      </c>
      <c r="G153" s="34" t="inlineStr">
        <is>
          <t>식물</t>
        </is>
      </c>
      <c r="H153" s="34" t="inlineStr">
        <is>
          <t>어성초(약모밀) 잎</t>
        </is>
      </c>
      <c r="I153" s="34" t="inlineStr">
        <is>
          <t>물/BG 추출 → 여과</t>
        </is>
      </c>
      <c r="J153" s="34" t="inlineStr">
        <is>
          <t>식물 추출물(플라보노이드)</t>
        </is>
      </c>
      <c r="K153" s="34" t="inlineStr">
        <is>
          <t>액상</t>
        </is>
      </c>
      <c r="L153" s="34" t="inlineStr">
        <is>
          <t>연갈색</t>
        </is>
      </c>
      <c r="M153" s="34" t="inlineStr">
        <is>
          <t>풀·비린 향</t>
        </is>
      </c>
      <c r="N153" s="34" t="inlineStr">
        <is>
          <t>수용성</t>
        </is>
      </c>
      <c r="O153" s="34" t="inlineStr">
        <is>
          <t>냉각상</t>
        </is>
      </c>
      <c r="P153" s="34" t="inlineStr">
        <is>
          <t>무감</t>
        </is>
      </c>
      <c r="Q153" s="34" t="inlineStr">
        <is>
          <t>—</t>
        </is>
      </c>
      <c r="R153" s="34" t="inlineStr">
        <is>
          <t>—</t>
        </is>
      </c>
      <c r="S153" s="34" t="inlineStr">
        <is>
          <t>1~10%</t>
        </is>
      </c>
      <c r="T153" s="34" t="inlineStr">
        <is>
          <t>갈변</t>
        </is>
      </c>
      <c r="U153" s="34" t="inlineStr">
        <is>
          <t>—</t>
        </is>
      </c>
      <c r="V153" s="34" t="inlineStr">
        <is>
          <t>₩10,000/100ml</t>
        </is>
      </c>
      <c r="W153" s="37" t="inlineStr">
        <is>
          <t>★★★★☆</t>
        </is>
      </c>
      <c r="X153" s="34" t="inlineStr">
        <is>
          <t>냉장·차광</t>
        </is>
      </c>
      <c r="Y153" s="34" t="inlineStr">
        <is>
          <t>제한 없음</t>
        </is>
      </c>
      <c r="Z153" s="34" t="inlineStr">
        <is>
          <t>—</t>
        </is>
      </c>
      <c r="AA153" s="34" t="inlineStr">
        <is>
          <t>병풀·티트리</t>
        </is>
      </c>
      <c r="AB153" s="34" t="inlineStr">
        <is>
          <t>K-뷰티 트러블 진정 대표</t>
        </is>
      </c>
      <c r="AC153" s="34" t="inlineStr">
        <is>
          <t>—</t>
        </is>
      </c>
      <c r="AD153" s="34" t="inlineStr">
        <is>
          <t>허브누리</t>
        </is>
      </c>
      <c r="AE153" s="38" t="n"/>
      <c r="AF153" s="39" t="n"/>
      <c r="AG153" s="38" t="n"/>
    </row>
    <row r="154" ht="92" customHeight="1">
      <c r="A154" s="55" t="n">
        <v>150</v>
      </c>
      <c r="B154" s="56" t="inlineStr">
        <is>
          <t>개똥쑥추출물</t>
        </is>
      </c>
      <c r="C154" s="34" t="inlineStr">
        <is>
          <t>Artemisia Annua Extract</t>
        </is>
      </c>
      <c r="D154" s="37" t="inlineStr">
        <is>
          <t>–</t>
        </is>
      </c>
      <c r="E154" s="57" t="inlineStr">
        <is>
          <t>활성</t>
        </is>
      </c>
      <c r="F154" s="34" t="inlineStr">
        <is>
          <t>진정 무드</t>
        </is>
      </c>
      <c r="G154" s="34" t="inlineStr">
        <is>
          <t>식물</t>
        </is>
      </c>
      <c r="H154" s="34" t="inlineStr">
        <is>
          <t>개똥쑥</t>
        </is>
      </c>
      <c r="I154" s="34" t="inlineStr">
        <is>
          <t>물/BG 추출</t>
        </is>
      </c>
      <c r="J154" s="34" t="inlineStr">
        <is>
          <t>식물 추출물</t>
        </is>
      </c>
      <c r="K154" s="34" t="inlineStr">
        <is>
          <t>액상</t>
        </is>
      </c>
      <c r="L154" s="34" t="inlineStr">
        <is>
          <t>연갈색</t>
        </is>
      </c>
      <c r="M154" s="34" t="inlineStr">
        <is>
          <t>쑥 향</t>
        </is>
      </c>
      <c r="N154" s="34" t="inlineStr">
        <is>
          <t>수용성</t>
        </is>
      </c>
      <c r="O154" s="34" t="inlineStr">
        <is>
          <t>냉각상</t>
        </is>
      </c>
      <c r="P154" s="34" t="inlineStr">
        <is>
          <t>무감</t>
        </is>
      </c>
      <c r="Q154" s="34" t="inlineStr">
        <is>
          <t>—</t>
        </is>
      </c>
      <c r="R154" s="34" t="inlineStr">
        <is>
          <t>—</t>
        </is>
      </c>
      <c r="S154" s="34" t="inlineStr">
        <is>
          <t>1~10%</t>
        </is>
      </c>
      <c r="T154" s="34" t="inlineStr">
        <is>
          <t>갈변</t>
        </is>
      </c>
      <c r="U154" s="34" t="inlineStr">
        <is>
          <t>국화과 알레르기</t>
        </is>
      </c>
      <c r="V154" s="34" t="inlineStr">
        <is>
          <t>₩10,000/100ml</t>
        </is>
      </c>
      <c r="W154" s="37" t="inlineStr">
        <is>
          <t>★★★☆☆</t>
        </is>
      </c>
      <c r="X154" s="34" t="inlineStr">
        <is>
          <t>냉장·차광</t>
        </is>
      </c>
      <c r="Y154" s="34" t="inlineStr">
        <is>
          <t>제한 없음</t>
        </is>
      </c>
      <c r="Z154" s="34" t="inlineStr">
        <is>
          <t>—</t>
        </is>
      </c>
      <c r="AA154" s="34" t="inlineStr">
        <is>
          <t>쑥추출물·병풀</t>
        </is>
      </c>
      <c r="AB154" s="34" t="inlineStr">
        <is>
          <t>K-한방 진정</t>
        </is>
      </c>
      <c r="AC154" s="34" t="inlineStr">
        <is>
          <t>—</t>
        </is>
      </c>
      <c r="AD154" s="34" t="inlineStr">
        <is>
          <t>허브누리</t>
        </is>
      </c>
      <c r="AE154" s="38" t="n"/>
      <c r="AF154" s="39" t="n"/>
      <c r="AG154" s="38" t="n"/>
    </row>
    <row r="155" ht="92" customHeight="1">
      <c r="A155" s="55" t="n">
        <v>151</v>
      </c>
      <c r="B155" s="56" t="inlineStr">
        <is>
          <t>캐모마일추출물</t>
        </is>
      </c>
      <c r="C155" s="34" t="inlineStr">
        <is>
          <t>Chamomilla Recutita Flower Extract</t>
        </is>
      </c>
      <c r="D155" s="37" t="inlineStr">
        <is>
          <t>–</t>
        </is>
      </c>
      <c r="E155" s="57" t="inlineStr">
        <is>
          <t>활성</t>
        </is>
      </c>
      <c r="F155" s="34" t="inlineStr">
        <is>
          <t>진정 무드</t>
        </is>
      </c>
      <c r="G155" s="34" t="inlineStr">
        <is>
          <t>식물</t>
        </is>
      </c>
      <c r="H155" s="34" t="inlineStr">
        <is>
          <t>저먼 캐모마일 꽃</t>
        </is>
      </c>
      <c r="I155" s="34" t="inlineStr">
        <is>
          <t>물/BG 추출</t>
        </is>
      </c>
      <c r="J155" s="34" t="inlineStr">
        <is>
          <t>식물 추출물(아피제닌 등)</t>
        </is>
      </c>
      <c r="K155" s="34" t="inlineStr">
        <is>
          <t>액상</t>
        </is>
      </c>
      <c r="L155" s="34" t="inlineStr">
        <is>
          <t>연황</t>
        </is>
      </c>
      <c r="M155" s="34" t="inlineStr">
        <is>
          <t>허브향</t>
        </is>
      </c>
      <c r="N155" s="34" t="inlineStr">
        <is>
          <t>수용성</t>
        </is>
      </c>
      <c r="O155" s="34" t="inlineStr">
        <is>
          <t>냉각상</t>
        </is>
      </c>
      <c r="P155" s="34" t="inlineStr">
        <is>
          <t>무감</t>
        </is>
      </c>
      <c r="Q155" s="34" t="inlineStr">
        <is>
          <t>—</t>
        </is>
      </c>
      <c r="R155" s="34" t="inlineStr">
        <is>
          <t>—</t>
        </is>
      </c>
      <c r="S155" s="34" t="inlineStr">
        <is>
          <t>1~5%</t>
        </is>
      </c>
      <c r="T155" s="34" t="inlineStr">
        <is>
          <t>보통</t>
        </is>
      </c>
      <c r="U155" s="34" t="inlineStr">
        <is>
          <t>국화과 알레르기</t>
        </is>
      </c>
      <c r="V155" s="34" t="inlineStr">
        <is>
          <t>₩10,000/100ml</t>
        </is>
      </c>
      <c r="W155" s="37" t="inlineStr">
        <is>
          <t>★★★★☆</t>
        </is>
      </c>
      <c r="X155" s="34" t="inlineStr">
        <is>
          <t>냉장</t>
        </is>
      </c>
      <c r="Y155" s="34" t="inlineStr">
        <is>
          <t>제한 없음</t>
        </is>
      </c>
      <c r="Z155" s="34" t="inlineStr">
        <is>
          <t>—</t>
        </is>
      </c>
      <c r="AA155" s="34" t="inlineStr">
        <is>
          <t>병풀·알란토인</t>
        </is>
      </c>
      <c r="AB155" s="34" t="inlineStr">
        <is>
          <t>글로벌 인지도 높은 진정 추출물</t>
        </is>
      </c>
      <c r="AC155" s="34" t="inlineStr">
        <is>
          <t>—</t>
        </is>
      </c>
      <c r="AD155" s="34" t="inlineStr">
        <is>
          <t>허브누리</t>
        </is>
      </c>
      <c r="AE155" s="38" t="n"/>
      <c r="AF155" s="39" t="n"/>
      <c r="AG155" s="38" t="n"/>
    </row>
    <row r="156" ht="92" customHeight="1">
      <c r="A156" s="55" t="n">
        <v>152</v>
      </c>
      <c r="B156" s="56" t="inlineStr">
        <is>
          <t>율무추출물</t>
        </is>
      </c>
      <c r="C156" s="34" t="inlineStr">
        <is>
          <t>Coix Lacryma-Jobi Ma-yuen Seed Extract</t>
        </is>
      </c>
      <c r="D156" s="37" t="inlineStr">
        <is>
          <t>–</t>
        </is>
      </c>
      <c r="E156" s="57" t="inlineStr">
        <is>
          <t>활성</t>
        </is>
      </c>
      <c r="F156" s="34" t="inlineStr">
        <is>
          <t>톤·보습 무드</t>
        </is>
      </c>
      <c r="G156" s="34" t="inlineStr">
        <is>
          <t>식물</t>
        </is>
      </c>
      <c r="H156" s="34" t="inlineStr">
        <is>
          <t>율무 씨</t>
        </is>
      </c>
      <c r="I156" s="34" t="inlineStr">
        <is>
          <t>물/BG 추출 or 발효</t>
        </is>
      </c>
      <c r="J156" s="34" t="inlineStr">
        <is>
          <t>곡물 추출물</t>
        </is>
      </c>
      <c r="K156" s="34" t="inlineStr">
        <is>
          <t>액상</t>
        </is>
      </c>
      <c r="L156" s="34" t="inlineStr">
        <is>
          <t>연황</t>
        </is>
      </c>
      <c r="M156" s="34" t="inlineStr">
        <is>
          <t>곡물향</t>
        </is>
      </c>
      <c r="N156" s="34" t="inlineStr">
        <is>
          <t>수용성</t>
        </is>
      </c>
      <c r="O156" s="34" t="inlineStr">
        <is>
          <t>냉각상</t>
        </is>
      </c>
      <c r="P156" s="34" t="inlineStr">
        <is>
          <t>무감</t>
        </is>
      </c>
      <c r="Q156" s="34" t="inlineStr">
        <is>
          <t>—</t>
        </is>
      </c>
      <c r="R156" s="34" t="inlineStr">
        <is>
          <t>—</t>
        </is>
      </c>
      <c r="S156" s="34" t="inlineStr">
        <is>
          <t>1~10%</t>
        </is>
      </c>
      <c r="T156" s="34" t="inlineStr">
        <is>
          <t>미생물 영양</t>
        </is>
      </c>
      <c r="U156" s="34" t="inlineStr">
        <is>
          <t>—</t>
        </is>
      </c>
      <c r="V156" s="34" t="inlineStr">
        <is>
          <t>₩10,000/100ml</t>
        </is>
      </c>
      <c r="W156" s="37" t="inlineStr">
        <is>
          <t>★★★☆☆</t>
        </is>
      </c>
      <c r="X156" s="34" t="inlineStr">
        <is>
          <t>냉장</t>
        </is>
      </c>
      <c r="Y156" s="34" t="inlineStr">
        <is>
          <t>제한 없음</t>
        </is>
      </c>
      <c r="Z156" s="34" t="inlineStr">
        <is>
          <t>—</t>
        </is>
      </c>
      <c r="AA156" s="34" t="inlineStr">
        <is>
          <t>쌀추출물</t>
        </is>
      </c>
      <c r="AB156" s="34" t="inlineStr">
        <is>
          <t>'하토무기' 일본 인기 원료</t>
        </is>
      </c>
      <c r="AC156" s="34" t="inlineStr">
        <is>
          <t>—</t>
        </is>
      </c>
      <c r="AD156" s="34" t="inlineStr">
        <is>
          <t>허브누리</t>
        </is>
      </c>
      <c r="AE156" s="38" t="n"/>
      <c r="AF156" s="39" t="n"/>
      <c r="AG156" s="38" t="n"/>
    </row>
    <row r="157" ht="92" customHeight="1">
      <c r="A157" s="55" t="n">
        <v>153</v>
      </c>
      <c r="B157" s="56" t="inlineStr">
        <is>
          <t>인삼추출물</t>
        </is>
      </c>
      <c r="C157" s="34" t="inlineStr">
        <is>
          <t>Panax Ginseng Root Extract</t>
        </is>
      </c>
      <c r="D157" s="37" t="inlineStr">
        <is>
          <t>–</t>
        </is>
      </c>
      <c r="E157" s="57" t="inlineStr">
        <is>
          <t>활성</t>
        </is>
      </c>
      <c r="F157" s="34" t="inlineStr">
        <is>
          <t>항산화·고급 무드</t>
        </is>
      </c>
      <c r="G157" s="34" t="inlineStr">
        <is>
          <t>식물</t>
        </is>
      </c>
      <c r="H157" s="34" t="inlineStr">
        <is>
          <t>인삼 뿌리</t>
        </is>
      </c>
      <c r="I157" s="34" t="inlineStr">
        <is>
          <t>물/에탄올/BG 추출</t>
        </is>
      </c>
      <c r="J157" s="34" t="inlineStr">
        <is>
          <t>사포닌(진세노사이드)</t>
        </is>
      </c>
      <c r="K157" s="34" t="inlineStr">
        <is>
          <t>액상</t>
        </is>
      </c>
      <c r="L157" s="34" t="inlineStr">
        <is>
          <t>갈색</t>
        </is>
      </c>
      <c r="M157" s="34" t="inlineStr">
        <is>
          <t>인삼향</t>
        </is>
      </c>
      <c r="N157" s="34" t="inlineStr">
        <is>
          <t>수용성</t>
        </is>
      </c>
      <c r="O157" s="34" t="inlineStr">
        <is>
          <t>냉각상</t>
        </is>
      </c>
      <c r="P157" s="34" t="inlineStr">
        <is>
          <t>무감</t>
        </is>
      </c>
      <c r="Q157" s="34" t="inlineStr">
        <is>
          <t>—</t>
        </is>
      </c>
      <c r="R157" s="34" t="inlineStr">
        <is>
          <t>—</t>
        </is>
      </c>
      <c r="S157" s="34" t="inlineStr">
        <is>
          <t>1~5%</t>
        </is>
      </c>
      <c r="T157" s="34" t="inlineStr">
        <is>
          <t>보통</t>
        </is>
      </c>
      <c r="U157" s="34" t="inlineStr">
        <is>
          <t>—</t>
        </is>
      </c>
      <c r="V157" s="34" t="inlineStr">
        <is>
          <t>₩15,000/100ml</t>
        </is>
      </c>
      <c r="W157" s="37" t="inlineStr">
        <is>
          <t>★★★★☆</t>
        </is>
      </c>
      <c r="X157" s="34" t="inlineStr">
        <is>
          <t>냉장·차광</t>
        </is>
      </c>
      <c r="Y157" s="34" t="inlineStr">
        <is>
          <t>제한 없음</t>
        </is>
      </c>
      <c r="Z157" s="34" t="inlineStr">
        <is>
          <t>—</t>
        </is>
      </c>
      <c r="AA157" s="34" t="inlineStr">
        <is>
          <t>홍삼·발효인삼</t>
        </is>
      </c>
      <c r="AB157" s="34" t="inlineStr">
        <is>
          <t>K-한방 프리미엄 스토리</t>
        </is>
      </c>
      <c r="AC157" s="34" t="inlineStr">
        <is>
          <t>—</t>
        </is>
      </c>
      <c r="AD157" s="34" t="inlineStr">
        <is>
          <t>허브누리</t>
        </is>
      </c>
      <c r="AE157" s="38" t="n"/>
      <c r="AF157" s="39" t="n"/>
      <c r="AG157" s="38" t="n"/>
    </row>
    <row r="158" ht="92" customHeight="1">
      <c r="A158" s="55" t="n">
        <v>154</v>
      </c>
      <c r="B158" s="56" t="inlineStr">
        <is>
          <t>마치현추출물</t>
        </is>
      </c>
      <c r="C158" s="34" t="inlineStr">
        <is>
          <t>Portulaca Oleracea Extract</t>
        </is>
      </c>
      <c r="D158" s="37" t="inlineStr">
        <is>
          <t>–</t>
        </is>
      </c>
      <c r="E158" s="57" t="inlineStr">
        <is>
          <t>활성</t>
        </is>
      </c>
      <c r="F158" s="34" t="inlineStr">
        <is>
          <t>진정 무드</t>
        </is>
      </c>
      <c r="G158" s="34" t="inlineStr">
        <is>
          <t>식물</t>
        </is>
      </c>
      <c r="H158" s="34" t="inlineStr">
        <is>
          <t>쇠비름</t>
        </is>
      </c>
      <c r="I158" s="34" t="inlineStr">
        <is>
          <t>물/BG 추출</t>
        </is>
      </c>
      <c r="J158" s="34" t="inlineStr">
        <is>
          <t>식물 추출물</t>
        </is>
      </c>
      <c r="K158" s="34" t="inlineStr">
        <is>
          <t>액상</t>
        </is>
      </c>
      <c r="L158" s="34" t="inlineStr">
        <is>
          <t>연갈색</t>
        </is>
      </c>
      <c r="M158" s="34" t="inlineStr">
        <is>
          <t>풀향</t>
        </is>
      </c>
      <c r="N158" s="34" t="inlineStr">
        <is>
          <t>수용성</t>
        </is>
      </c>
      <c r="O158" s="34" t="inlineStr">
        <is>
          <t>냉각상</t>
        </is>
      </c>
      <c r="P158" s="34" t="inlineStr">
        <is>
          <t>무감</t>
        </is>
      </c>
      <c r="Q158" s="34" t="inlineStr">
        <is>
          <t>—</t>
        </is>
      </c>
      <c r="R158" s="34" t="inlineStr">
        <is>
          <t>—</t>
        </is>
      </c>
      <c r="S158" s="34" t="inlineStr">
        <is>
          <t>1~10%</t>
        </is>
      </c>
      <c r="T158" s="34" t="inlineStr">
        <is>
          <t>갈변</t>
        </is>
      </c>
      <c r="U158" s="34" t="inlineStr">
        <is>
          <t>—</t>
        </is>
      </c>
      <c r="V158" s="34" t="inlineStr">
        <is>
          <t>₩10,000/100ml</t>
        </is>
      </c>
      <c r="W158" s="37" t="inlineStr">
        <is>
          <t>★★★☆☆</t>
        </is>
      </c>
      <c r="X158" s="34" t="inlineStr">
        <is>
          <t>냉장</t>
        </is>
      </c>
      <c r="Y158" s="34" t="inlineStr">
        <is>
          <t>제한 없음</t>
        </is>
      </c>
      <c r="Z158" s="34" t="inlineStr">
        <is>
          <t>—</t>
        </is>
      </c>
      <c r="AA158" s="34" t="inlineStr">
        <is>
          <t>병풀·어성초</t>
        </is>
      </c>
      <c r="AB158" s="34" t="inlineStr">
        <is>
          <t>K-진정 3대(병풀·어성초·마치현)</t>
        </is>
      </c>
      <c r="AC158" s="34" t="inlineStr">
        <is>
          <t>—</t>
        </is>
      </c>
      <c r="AD158" s="34" t="inlineStr">
        <is>
          <t>허브누리</t>
        </is>
      </c>
      <c r="AE158" s="38" t="n"/>
      <c r="AF158" s="39" t="n"/>
      <c r="AG158" s="38" t="n"/>
    </row>
    <row r="159" ht="92" customHeight="1">
      <c r="A159" s="55" t="n">
        <v>155</v>
      </c>
      <c r="B159" s="56" t="inlineStr">
        <is>
          <t>상백피추출물</t>
        </is>
      </c>
      <c r="C159" s="34" t="inlineStr">
        <is>
          <t>Morus Alba Root Bark Extract</t>
        </is>
      </c>
      <c r="D159" s="37" t="inlineStr">
        <is>
          <t>–</t>
        </is>
      </c>
      <c r="E159" s="57" t="inlineStr">
        <is>
          <t>활성</t>
        </is>
      </c>
      <c r="F159" s="34" t="inlineStr">
        <is>
          <t>톤 무드</t>
        </is>
      </c>
      <c r="G159" s="34" t="inlineStr">
        <is>
          <t>식물</t>
        </is>
      </c>
      <c r="H159" s="34" t="inlineStr">
        <is>
          <t>뽕나무 뿌리껍질</t>
        </is>
      </c>
      <c r="I159" s="34" t="inlineStr">
        <is>
          <t>에탄올/BG 추출</t>
        </is>
      </c>
      <c r="J159" s="34" t="inlineStr">
        <is>
          <t>플라보노이드</t>
        </is>
      </c>
      <c r="K159" s="34" t="inlineStr">
        <is>
          <t>액상</t>
        </is>
      </c>
      <c r="L159" s="34" t="inlineStr">
        <is>
          <t>갈색</t>
        </is>
      </c>
      <c r="M159" s="34" t="inlineStr">
        <is>
          <t>약한 냄새</t>
        </is>
      </c>
      <c r="N159" s="34" t="inlineStr">
        <is>
          <t>수용성</t>
        </is>
      </c>
      <c r="O159" s="34" t="inlineStr">
        <is>
          <t>냉각상</t>
        </is>
      </c>
      <c r="P159" s="34" t="inlineStr">
        <is>
          <t>무감</t>
        </is>
      </c>
      <c r="Q159" s="34" t="inlineStr">
        <is>
          <t>—</t>
        </is>
      </c>
      <c r="R159" s="34" t="inlineStr">
        <is>
          <t>—</t>
        </is>
      </c>
      <c r="S159" s="34" t="inlineStr">
        <is>
          <t>1~5%</t>
        </is>
      </c>
      <c r="T159" s="34" t="inlineStr">
        <is>
          <t>갈변</t>
        </is>
      </c>
      <c r="U159" s="34" t="inlineStr">
        <is>
          <t>미백 고시 성분 아님(닥나무추출물과 구분)</t>
        </is>
      </c>
      <c r="V159" s="34" t="inlineStr">
        <is>
          <t>₩10,000/100ml</t>
        </is>
      </c>
      <c r="W159" s="37" t="inlineStr">
        <is>
          <t>★★★☆☆</t>
        </is>
      </c>
      <c r="X159" s="34" t="inlineStr">
        <is>
          <t>차광</t>
        </is>
      </c>
      <c r="Y159" s="34" t="inlineStr">
        <is>
          <t>제한 없음</t>
        </is>
      </c>
      <c r="Z159" s="34" t="inlineStr">
        <is>
          <t>고시 vs 비고시 식물 미백</t>
        </is>
      </c>
      <c r="AA159" s="34" t="inlineStr">
        <is>
          <t>닥나무추출물·감초</t>
        </is>
      </c>
      <c r="AB159" s="34" t="inlineStr">
        <is>
          <t>한방 톤 스토리</t>
        </is>
      </c>
      <c r="AC159" s="34" t="inlineStr">
        <is>
          <t>—</t>
        </is>
      </c>
      <c r="AD159" s="34" t="inlineStr">
        <is>
          <t>허브누리</t>
        </is>
      </c>
      <c r="AE159" s="38" t="n"/>
      <c r="AF159" s="39" t="n"/>
      <c r="AG159" s="38" t="n"/>
    </row>
    <row r="160" ht="92" customHeight="1">
      <c r="A160" s="55" t="n">
        <v>156</v>
      </c>
      <c r="B160" s="56" t="inlineStr">
        <is>
          <t>카렌듈라추출물</t>
        </is>
      </c>
      <c r="C160" s="34" t="inlineStr">
        <is>
          <t>Calendula Officinalis Flower Extract</t>
        </is>
      </c>
      <c r="D160" s="37" t="inlineStr">
        <is>
          <t>–</t>
        </is>
      </c>
      <c r="E160" s="57" t="inlineStr">
        <is>
          <t>활성</t>
        </is>
      </c>
      <c r="F160" s="34" t="inlineStr">
        <is>
          <t>진정 무드·보습</t>
        </is>
      </c>
      <c r="G160" s="34" t="inlineStr">
        <is>
          <t>식물</t>
        </is>
      </c>
      <c r="H160" s="34" t="inlineStr">
        <is>
          <t>금잔화(카렌듈라) 꽃</t>
        </is>
      </c>
      <c r="I160" s="34" t="inlineStr">
        <is>
          <t>물·BG·글리세린 등으로 추출 → 여과(수용성 추출물)</t>
        </is>
      </c>
      <c r="J160" s="34" t="inlineStr">
        <is>
          <t>플라보노이드·사포닌 복합</t>
        </is>
      </c>
      <c r="K160" s="34" t="inlineStr">
        <is>
          <t>액상</t>
        </is>
      </c>
      <c r="L160" s="34" t="inlineStr">
        <is>
          <t>연노랑~갈색</t>
        </is>
      </c>
      <c r="M160" s="34" t="inlineStr">
        <is>
          <t>약한 풀향</t>
        </is>
      </c>
      <c r="N160" s="34" t="inlineStr">
        <is>
          <t>수용성</t>
        </is>
      </c>
      <c r="O160" s="34" t="inlineStr">
        <is>
          <t>냉각상</t>
        </is>
      </c>
      <c r="P160" s="34" t="inlineStr">
        <is>
          <t>산뜻</t>
        </is>
      </c>
      <c r="Q160" s="34" t="inlineStr">
        <is>
          <t>—</t>
        </is>
      </c>
      <c r="R160" s="34" t="inlineStr">
        <is>
          <t>—</t>
        </is>
      </c>
      <c r="S160" s="34" t="inlineStr">
        <is>
          <t>2~10%</t>
        </is>
      </c>
      <c r="T160" s="34" t="inlineStr">
        <is>
          <t>pH 4~7, 갈변 가능</t>
        </is>
      </c>
      <c r="U160" s="34" t="inlineStr">
        <is>
          <t>★ 국화과 알레르기. 오일 버전(인퓨즈)과 용도 다름</t>
        </is>
      </c>
      <c r="V160" s="34" t="inlineStr">
        <is>
          <t>₩8,000/100ml</t>
        </is>
      </c>
      <c r="W160" s="37" t="inlineStr">
        <is>
          <t>★★★★☆</t>
        </is>
      </c>
      <c r="X160" s="34" t="inlineStr">
        <is>
          <t>서늘·차광</t>
        </is>
      </c>
      <c r="Y160" s="34" t="inlineStr">
        <is>
          <t>제한 없음 ('항염' 표방 금지)</t>
        </is>
      </c>
      <c r="Z160" s="34" t="inlineStr">
        <is>
          <t>—</t>
        </is>
      </c>
      <c r="AA160" s="34" t="inlineStr">
        <is>
          <t>카렌듈라 인퓨즈드오일·캐모마일추출물</t>
        </is>
      </c>
      <c r="AB160" s="34" t="inlineStr">
        <is>
          <t>수상 제형엔 추출물, 밤·오일엔 인퓨즈오일</t>
        </is>
      </c>
      <c r="AC160" s="34" t="inlineStr">
        <is>
          <t>추출물(물) vs 인퓨즈오일 — 같은 꽃이 용매에 따라 어떻게 다른지 색·향 비교</t>
        </is>
      </c>
      <c r="AD160" s="34" t="inlineStr">
        <is>
          <t>허브누리</t>
        </is>
      </c>
      <c r="AE160" s="38" t="n"/>
      <c r="AF160" s="39" t="n"/>
      <c r="AG160" s="38" t="n"/>
    </row>
    <row r="161" ht="92" customHeight="1">
      <c r="A161" s="55" t="n">
        <v>157</v>
      </c>
      <c r="B161" s="56" t="inlineStr">
        <is>
          <t>토마토추출물</t>
        </is>
      </c>
      <c r="C161" s="34" t="inlineStr">
        <is>
          <t>Solanum Lycopersicum (Tomato) Fruit Extract</t>
        </is>
      </c>
      <c r="D161" s="37" t="inlineStr">
        <is>
          <t>–</t>
        </is>
      </c>
      <c r="E161" s="57" t="inlineStr">
        <is>
          <t>활성</t>
        </is>
      </c>
      <c r="F161" s="34" t="inlineStr">
        <is>
          <t>항산화 스토리(라이코펜)</t>
        </is>
      </c>
      <c r="G161" s="34" t="inlineStr">
        <is>
          <t>식물</t>
        </is>
      </c>
      <c r="H161" s="34" t="inlineStr">
        <is>
          <t>토마토 열매</t>
        </is>
      </c>
      <c r="I161" s="34" t="inlineStr">
        <is>
          <t>수용성 추출(BG/물) 또는 오일 추출(라이코펜 농축)</t>
        </is>
      </c>
      <c r="J161" s="34" t="inlineStr">
        <is>
          <t>카로티노이드·폴리페놀</t>
        </is>
      </c>
      <c r="K161" s="34" t="inlineStr">
        <is>
          <t>액상</t>
        </is>
      </c>
      <c r="L161" s="34" t="inlineStr">
        <is>
          <t>연주황~적색(라이코펜형)</t>
        </is>
      </c>
      <c r="M161" s="34" t="inlineStr">
        <is>
          <t>약한 토마토취</t>
        </is>
      </c>
      <c r="N161" s="34" t="inlineStr">
        <is>
          <t>제품별(수용성/유용성) — TDS 확인</t>
        </is>
      </c>
      <c r="O161" s="34" t="inlineStr">
        <is>
          <t>냉각상</t>
        </is>
      </c>
      <c r="P161" s="34" t="inlineStr">
        <is>
          <t>산뜻</t>
        </is>
      </c>
      <c r="Q161" s="34" t="inlineStr">
        <is>
          <t>—</t>
        </is>
      </c>
      <c r="R161" s="34" t="inlineStr">
        <is>
          <t>—</t>
        </is>
      </c>
      <c r="S161" s="34" t="inlineStr">
        <is>
          <t>2~5%</t>
        </is>
      </c>
      <c r="T161" s="34" t="inlineStr">
        <is>
          <t>빛·산소에 라이코펜 분해 → 차광</t>
        </is>
      </c>
      <c r="U161" s="34" t="inlineStr">
        <is>
          <t>라이코펜은 유용성 → 수용성 추출물엔 거의 없음. 색 착색 가능</t>
        </is>
      </c>
      <c r="V161" s="34" t="inlineStr">
        <is>
          <t>₩8,000/100ml</t>
        </is>
      </c>
      <c r="W161" s="37" t="inlineStr">
        <is>
          <t>★★★☆☆</t>
        </is>
      </c>
      <c r="X161" s="34" t="inlineStr">
        <is>
          <t>냉장·차광</t>
        </is>
      </c>
      <c r="Y161" s="34" t="inlineStr">
        <is>
          <t>제한 없음</t>
        </is>
      </c>
      <c r="Z161" s="34" t="inlineStr">
        <is>
          <t>—</t>
        </is>
      </c>
      <c r="AA161" s="34" t="inlineStr">
        <is>
          <t>씨벅턴오일(카로티노이드)·토코페롤</t>
        </is>
      </c>
      <c r="AB161" s="34" t="inlineStr">
        <is>
          <t>'라이코펜' 스토리가 목적이면 유용성 원료인지 확인</t>
        </is>
      </c>
      <c r="AC161" s="34" t="inlineStr">
        <is>
          <t>(공부) 토마토추출물 TDS에서 용매가 BG인지 오일인지 확인</t>
        </is>
      </c>
      <c r="AD161" s="34" t="inlineStr">
        <is>
          <t>허브누리</t>
        </is>
      </c>
      <c r="AE161" s="38" t="n"/>
      <c r="AF161" s="39" t="n"/>
      <c r="AG161" s="38" t="n"/>
    </row>
    <row r="162" ht="92" customHeight="1">
      <c r="A162" s="55" t="n">
        <v>158</v>
      </c>
      <c r="B162" s="56" t="inlineStr">
        <is>
          <t>오이추출물</t>
        </is>
      </c>
      <c r="C162" s="34" t="inlineStr">
        <is>
          <t>Cucumis Sativus (Cucumber) Fruit Extract</t>
        </is>
      </c>
      <c r="D162" s="37" t="inlineStr">
        <is>
          <t>–</t>
        </is>
      </c>
      <c r="E162" s="57" t="inlineStr">
        <is>
          <t>활성</t>
        </is>
      </c>
      <c r="F162" s="34" t="inlineStr">
        <is>
          <t>쿨링·수분 무드</t>
        </is>
      </c>
      <c r="G162" s="34" t="inlineStr">
        <is>
          <t>식물</t>
        </is>
      </c>
      <c r="H162" s="34" t="inlineStr">
        <is>
          <t>오이 열매</t>
        </is>
      </c>
      <c r="I162" s="34" t="inlineStr">
        <is>
          <t>즙 또는 BG/물 추출 → 여과</t>
        </is>
      </c>
      <c r="J162" s="34" t="inlineStr">
        <is>
          <t>수용성 복합(당·아미노산)</t>
        </is>
      </c>
      <c r="K162" s="34" t="inlineStr">
        <is>
          <t>액상</t>
        </is>
      </c>
      <c r="L162" s="34" t="inlineStr">
        <is>
          <t>무색~연녹</t>
        </is>
      </c>
      <c r="M162" s="34" t="inlineStr">
        <is>
          <t>약한 오이향</t>
        </is>
      </c>
      <c r="N162" s="34" t="inlineStr">
        <is>
          <t>수용성</t>
        </is>
      </c>
      <c r="O162" s="34" t="inlineStr">
        <is>
          <t>냉각상</t>
        </is>
      </c>
      <c r="P162" s="34" t="inlineStr">
        <is>
          <t>산뜻·시원</t>
        </is>
      </c>
      <c r="Q162" s="34" t="inlineStr">
        <is>
          <t>—</t>
        </is>
      </c>
      <c r="R162" s="34" t="inlineStr">
        <is>
          <t>—</t>
        </is>
      </c>
      <c r="S162" s="34" t="inlineStr">
        <is>
          <t>5~10%</t>
        </is>
      </c>
      <c r="T162" s="34" t="inlineStr">
        <is>
          <t>미생물 취약(당 많음)</t>
        </is>
      </c>
      <c r="U162" s="34" t="inlineStr">
        <is>
          <t>방부 신경. 수딩 미스트·젤 단골</t>
        </is>
      </c>
      <c r="V162" s="34" t="inlineStr">
        <is>
          <t>₩6,000/100ml</t>
        </is>
      </c>
      <c r="W162" s="37" t="inlineStr">
        <is>
          <t>★★★★☆</t>
        </is>
      </c>
      <c r="X162" s="34" t="inlineStr">
        <is>
          <t>냉장</t>
        </is>
      </c>
      <c r="Y162" s="34" t="inlineStr">
        <is>
          <t>제한 없음</t>
        </is>
      </c>
      <c r="Z162" s="34" t="inlineStr">
        <is>
          <t>—</t>
        </is>
      </c>
      <c r="AA162" s="34" t="inlineStr">
        <is>
          <t>알로에베라겔·어성초추출물</t>
        </is>
      </c>
      <c r="AB162" s="34" t="inlineStr">
        <is>
          <t>가장 친숙한 '열감 무드' 원료. 효능보단 스토리</t>
        </is>
      </c>
      <c r="AC162" s="34" t="inlineStr">
        <is>
          <t>오이추출물 미스트 vs 정제수 미스트 냄새·청량감</t>
        </is>
      </c>
      <c r="AD162" s="34" t="inlineStr">
        <is>
          <t>허브누리</t>
        </is>
      </c>
      <c r="AE162" s="38" t="n"/>
      <c r="AF162" s="39" t="n"/>
      <c r="AG162" s="38" t="n"/>
    </row>
    <row r="163" ht="92" customHeight="1">
      <c r="A163" s="55" t="n">
        <v>159</v>
      </c>
      <c r="B163" s="56" t="inlineStr">
        <is>
          <t>석류추출물</t>
        </is>
      </c>
      <c r="C163" s="34" t="inlineStr">
        <is>
          <t>Punica Granatum Fruit Extract</t>
        </is>
      </c>
      <c r="D163" s="37" t="inlineStr">
        <is>
          <t>–</t>
        </is>
      </c>
      <c r="E163" s="57" t="inlineStr">
        <is>
          <t>활성</t>
        </is>
      </c>
      <c r="F163" s="34" t="inlineStr">
        <is>
          <t>항산화 스토리(폴리페놀)</t>
        </is>
      </c>
      <c r="G163" s="34" t="inlineStr">
        <is>
          <t>식물</t>
        </is>
      </c>
      <c r="H163" s="34" t="inlineStr">
        <is>
          <t>석류 열매(과피·과육)</t>
        </is>
      </c>
      <c r="I163" s="34" t="inlineStr">
        <is>
          <t>BG/물 추출 → 여과</t>
        </is>
      </c>
      <c r="J163" s="34" t="inlineStr">
        <is>
          <t>폴리페놀(엘라그산·안토시아닌)</t>
        </is>
      </c>
      <c r="K163" s="34" t="inlineStr">
        <is>
          <t>액상</t>
        </is>
      </c>
      <c r="L163" s="34" t="inlineStr">
        <is>
          <t>적갈색</t>
        </is>
      </c>
      <c r="M163" s="34" t="inlineStr">
        <is>
          <t>새콤한 과일취</t>
        </is>
      </c>
      <c r="N163" s="34" t="inlineStr">
        <is>
          <t>수용성</t>
        </is>
      </c>
      <c r="O163" s="34" t="inlineStr">
        <is>
          <t>냉각상</t>
        </is>
      </c>
      <c r="P163" s="34" t="inlineStr">
        <is>
          <t>산뜻</t>
        </is>
      </c>
      <c r="Q163" s="34" t="inlineStr">
        <is>
          <t>—</t>
        </is>
      </c>
      <c r="R163" s="34" t="inlineStr">
        <is>
          <t>—</t>
        </is>
      </c>
      <c r="S163" s="34" t="inlineStr">
        <is>
          <t>3~10%</t>
        </is>
      </c>
      <c r="T163" s="34" t="inlineStr">
        <is>
          <t>pH 영향으로 색 변화(안토시아닌)</t>
        </is>
      </c>
      <c r="U163" s="34" t="inlineStr">
        <is>
          <t>★ '식물성 에스트로겐·여성호르몬' 표현 = 의약품 오인 위험 → 광고 금지</t>
        </is>
      </c>
      <c r="V163" s="34" t="inlineStr">
        <is>
          <t>₩8,000/100ml</t>
        </is>
      </c>
      <c r="W163" s="37" t="inlineStr">
        <is>
          <t>★★★☆☆</t>
        </is>
      </c>
      <c r="X163" s="34" t="inlineStr">
        <is>
          <t>서늘·차광</t>
        </is>
      </c>
      <c r="Y163" s="34" t="inlineStr">
        <is>
          <t>제한 없음 (호르몬 표방 금지)</t>
        </is>
      </c>
      <c r="Z163" s="34" t="inlineStr">
        <is>
          <t>광고 표현 리스크 사례</t>
        </is>
      </c>
      <c r="AA163" s="34" t="inlineStr">
        <is>
          <t>레스베라트롤·녹차추출물</t>
        </is>
      </c>
      <c r="AB163" s="34" t="inlineStr">
        <is>
          <t>항산화 스토리 원료. 효능 근거는 레스베라트롤·페룰릭이 더 명확</t>
        </is>
      </c>
      <c r="AC163" s="34" t="inlineStr">
        <is>
          <t>석류추출물 1% 수용액에 구연산/베이킹소다 한 꼬집 — 색 바뀌는지(안토시아닌)</t>
        </is>
      </c>
      <c r="AD163" s="34" t="inlineStr">
        <is>
          <t>허브누리</t>
        </is>
      </c>
      <c r="AE163" s="38" t="n"/>
      <c r="AF163" s="39" t="n"/>
      <c r="AG163" s="38" t="n"/>
    </row>
    <row r="164" ht="92" customHeight="1">
      <c r="A164" s="55" t="n">
        <v>160</v>
      </c>
      <c r="B164" s="56" t="inlineStr">
        <is>
          <t>상황버섯추출물</t>
        </is>
      </c>
      <c r="C164" s="34" t="inlineStr">
        <is>
          <t>Phellinus Linteus Extract</t>
        </is>
      </c>
      <c r="D164" s="37" t="inlineStr">
        <is>
          <t>–</t>
        </is>
      </c>
      <c r="E164" s="57" t="inlineStr">
        <is>
          <t>활성</t>
        </is>
      </c>
      <c r="F164" s="34" t="inlineStr">
        <is>
          <t>한방·버섯 스토리(베타글루칸)</t>
        </is>
      </c>
      <c r="G164" s="34" t="inlineStr">
        <is>
          <t>식물(균류)</t>
        </is>
      </c>
      <c r="H164" s="34" t="inlineStr">
        <is>
          <t>상황버섯 자실체</t>
        </is>
      </c>
      <c r="I164" s="34" t="inlineStr">
        <is>
          <t>열수/BG 추출 → 여과</t>
        </is>
      </c>
      <c r="J164" s="34" t="inlineStr">
        <is>
          <t>다당류(β-글루칸)·폴리페놀</t>
        </is>
      </c>
      <c r="K164" s="34" t="inlineStr">
        <is>
          <t>액상</t>
        </is>
      </c>
      <c r="L164" s="34" t="inlineStr">
        <is>
          <t>갈색</t>
        </is>
      </c>
      <c r="M164" s="34" t="inlineStr">
        <is>
          <t>버섯·한약취</t>
        </is>
      </c>
      <c r="N164" s="34" t="inlineStr">
        <is>
          <t>수용성</t>
        </is>
      </c>
      <c r="O164" s="34" t="inlineStr">
        <is>
          <t>냉각상</t>
        </is>
      </c>
      <c r="P164" s="34" t="inlineStr">
        <is>
          <t>약간 촉촉</t>
        </is>
      </c>
      <c r="Q164" s="34" t="inlineStr">
        <is>
          <t>—</t>
        </is>
      </c>
      <c r="R164" s="34" t="inlineStr">
        <is>
          <t>—</t>
        </is>
      </c>
      <c r="S164" s="34" t="inlineStr">
        <is>
          <t>2~10%</t>
        </is>
      </c>
      <c r="T164" s="34" t="inlineStr">
        <is>
          <t>갈변·침전 가능</t>
        </is>
      </c>
      <c r="U164" s="34" t="inlineStr">
        <is>
          <t>색이 진해 투명 제형에서 티 남</t>
        </is>
      </c>
      <c r="V164" s="34" t="inlineStr">
        <is>
          <t>₩10,000/100ml</t>
        </is>
      </c>
      <c r="W164" s="37" t="inlineStr">
        <is>
          <t>★★★☆☆</t>
        </is>
      </c>
      <c r="X164" s="34" t="inlineStr">
        <is>
          <t>서늘·차광</t>
        </is>
      </c>
      <c r="Y164" s="34" t="inlineStr">
        <is>
          <t>제한 없음 (미백 표방 시 기능성 보고)</t>
        </is>
      </c>
      <c r="Z164" s="34" t="inlineStr">
        <is>
          <t>—</t>
        </is>
      </c>
      <c r="AA164" s="34" t="inlineStr">
        <is>
          <t>베타글루칸·인삼추출물</t>
        </is>
      </c>
      <c r="AB164" s="34" t="inlineStr">
        <is>
          <t>K-한방 라인 스토리. 보습만 원하면 베타글루칸 단일</t>
        </is>
      </c>
      <c r="AC164" s="34" t="inlineStr">
        <is>
          <t>상황버섯추출물 3% 젤 색 — 투명 젤에 얼마나 티 나는지</t>
        </is>
      </c>
      <c r="AD164" s="34" t="inlineStr">
        <is>
          <t>허브누리</t>
        </is>
      </c>
      <c r="AE164" s="38" t="n"/>
      <c r="AF164" s="39" t="n"/>
      <c r="AG164" s="38" t="n"/>
    </row>
    <row r="165" ht="92" customHeight="1">
      <c r="A165" s="55" t="n">
        <v>161</v>
      </c>
      <c r="B165" s="56" t="inlineStr">
        <is>
          <t>바다포도추출물</t>
        </is>
      </c>
      <c r="C165" s="34" t="inlineStr">
        <is>
          <t>Caulerpa Lentillifera Extract</t>
        </is>
      </c>
      <c r="D165" s="37" t="inlineStr">
        <is>
          <t>–</t>
        </is>
      </c>
      <c r="E165" s="57" t="inlineStr">
        <is>
          <t>활성</t>
        </is>
      </c>
      <c r="F165" s="34" t="inlineStr">
        <is>
          <t>해양 보습 스토리</t>
        </is>
      </c>
      <c r="G165" s="34" t="inlineStr">
        <is>
          <t>식물(해조)</t>
        </is>
      </c>
      <c r="H165" s="34" t="inlineStr">
        <is>
          <t>바다포도(우미부도) 해조</t>
        </is>
      </c>
      <c r="I165" s="34" t="inlineStr">
        <is>
          <t>물/BG 추출</t>
        </is>
      </c>
      <c r="J165" s="34" t="inlineStr">
        <is>
          <t>해조 다당류·미네랄</t>
        </is>
      </c>
      <c r="K165" s="34" t="inlineStr">
        <is>
          <t>액상</t>
        </is>
      </c>
      <c r="L165" s="34" t="inlineStr">
        <is>
          <t>무색~연녹</t>
        </is>
      </c>
      <c r="M165" s="34" t="inlineStr">
        <is>
          <t>약한 바다취</t>
        </is>
      </c>
      <c r="N165" s="34" t="inlineStr">
        <is>
          <t>수용성</t>
        </is>
      </c>
      <c r="O165" s="34" t="inlineStr">
        <is>
          <t>냉각상</t>
        </is>
      </c>
      <c r="P165" s="34" t="inlineStr">
        <is>
          <t>촉촉</t>
        </is>
      </c>
      <c r="Q165" s="34" t="inlineStr">
        <is>
          <t>—</t>
        </is>
      </c>
      <c r="R165" s="34" t="inlineStr">
        <is>
          <t>—</t>
        </is>
      </c>
      <c r="S165" s="34" t="inlineStr">
        <is>
          <t>5~10%</t>
        </is>
      </c>
      <c r="T165" s="34" t="inlineStr">
        <is>
          <t>미네랄 = 전해질 → 카보머 점도↓ 가능</t>
        </is>
      </c>
      <c r="U165" s="34" t="inlineStr">
        <is>
          <t>★ '후코이단'은 주로 갈조류 성분 — 녹조류인 바다포도 설명은 과장 가능, 성분표 확인</t>
        </is>
      </c>
      <c r="V165" s="34" t="inlineStr">
        <is>
          <t>₩10,000/100ml</t>
        </is>
      </c>
      <c r="W165" s="37" t="inlineStr">
        <is>
          <t>★★★☆☆</t>
        </is>
      </c>
      <c r="X165" s="34" t="inlineStr">
        <is>
          <t>냉장</t>
        </is>
      </c>
      <c r="Y165" s="34" t="inlineStr">
        <is>
          <t>제한 없음</t>
        </is>
      </c>
      <c r="Z165" s="34" t="inlineStr">
        <is>
          <t>—</t>
        </is>
      </c>
      <c r="AA165" s="34" t="inlineStr">
        <is>
          <t>베타글루칸·사해소금</t>
        </is>
      </c>
      <c r="AB165" s="34" t="inlineStr">
        <is>
          <t>해양 라인 스토리용</t>
        </is>
      </c>
      <c r="AC165" s="34" t="inlineStr">
        <is>
          <t>카보머 젤에 3% 넣고 점도 떨어지는지(전해질) 확인</t>
        </is>
      </c>
      <c r="AD165" s="34" t="inlineStr">
        <is>
          <t>허브누리</t>
        </is>
      </c>
      <c r="AE165" s="38" t="n"/>
      <c r="AF165" s="39" t="n"/>
      <c r="AG165" s="38" t="n"/>
    </row>
    <row r="166" ht="92" customHeight="1">
      <c r="A166" s="55" t="n">
        <v>162</v>
      </c>
      <c r="B166" s="56" t="inlineStr">
        <is>
          <t>로얄젤리추출물</t>
        </is>
      </c>
      <c r="C166" s="34" t="inlineStr">
        <is>
          <t>Royal Jelly Extract</t>
        </is>
      </c>
      <c r="D166" s="37" t="inlineStr">
        <is>
          <t>–</t>
        </is>
      </c>
      <c r="E166" s="57" t="inlineStr">
        <is>
          <t>활성</t>
        </is>
      </c>
      <c r="F166" s="34" t="inlineStr">
        <is>
          <t>영양 스토리(동물성)</t>
        </is>
      </c>
      <c r="G166" s="34" t="inlineStr">
        <is>
          <t>동물(벌)</t>
        </is>
      </c>
      <c r="H166" s="34" t="inlineStr">
        <is>
          <t>로열젤리(일벌 분비물)</t>
        </is>
      </c>
      <c r="I166" s="34" t="inlineStr">
        <is>
          <t>물/BG 추출 또는 동결건조 분말 용해</t>
        </is>
      </c>
      <c r="J166" s="34" t="inlineStr">
        <is>
          <t>단백질·아미노산·10-HDA</t>
        </is>
      </c>
      <c r="K166" s="34" t="inlineStr">
        <is>
          <t>액상</t>
        </is>
      </c>
      <c r="L166" s="34" t="inlineStr">
        <is>
          <t>연노랑</t>
        </is>
      </c>
      <c r="M166" s="34" t="inlineStr">
        <is>
          <t>약한 새콤취</t>
        </is>
      </c>
      <c r="N166" s="34" t="inlineStr">
        <is>
          <t>수용성</t>
        </is>
      </c>
      <c r="O166" s="34" t="inlineStr">
        <is>
          <t>냉각상</t>
        </is>
      </c>
      <c r="P166" s="34" t="inlineStr">
        <is>
          <t>약간 촉촉</t>
        </is>
      </c>
      <c r="Q166" s="34" t="inlineStr">
        <is>
          <t>—</t>
        </is>
      </c>
      <c r="R166" s="34" t="inlineStr">
        <is>
          <t>—</t>
        </is>
      </c>
      <c r="S166" s="34" t="inlineStr">
        <is>
          <t>2~10%</t>
        </is>
      </c>
      <c r="T166" s="34" t="inlineStr">
        <is>
          <t>단백질 → 변질 빠름</t>
        </is>
      </c>
      <c r="U166" s="34" t="inlineStr">
        <is>
          <t>★ 벌 제품 알레르기. 비건 불가</t>
        </is>
      </c>
      <c r="V166" s="34" t="inlineStr">
        <is>
          <t>₩15,000/100ml</t>
        </is>
      </c>
      <c r="W166" s="37" t="inlineStr">
        <is>
          <t>★★★☆☆</t>
        </is>
      </c>
      <c r="X166" s="34" t="inlineStr">
        <is>
          <t>냉장</t>
        </is>
      </c>
      <c r="Y166" s="34" t="inlineStr">
        <is>
          <t>제한 없음</t>
        </is>
      </c>
      <c r="Z166" s="34" t="inlineStr">
        <is>
          <t>—</t>
        </is>
      </c>
      <c r="AA166" s="34" t="inlineStr">
        <is>
          <t>프로폴리스추출물·허니(꿀) 추출물</t>
        </is>
      </c>
      <c r="AB166" s="34" t="inlineStr">
        <is>
          <t>꿀·프로폴리스와 '벌 3종' 라인. 비건 브랜드면 제외</t>
        </is>
      </c>
      <c r="AC166" s="34" t="inlineStr">
        <is>
          <t>(공부) 프로폴리스·허니·로얄젤리 카드 셋을 나란히 놓고 차이 한 줄씩</t>
        </is>
      </c>
      <c r="AD166" s="34" t="inlineStr">
        <is>
          <t>허브누리</t>
        </is>
      </c>
      <c r="AE166" s="38" t="n"/>
      <c r="AF166" s="39" t="n"/>
      <c r="AG166" s="38" t="n"/>
    </row>
    <row r="167" ht="92" customHeight="1">
      <c r="A167" s="55" t="n">
        <v>163</v>
      </c>
      <c r="B167" s="56" t="inlineStr">
        <is>
          <t>슈퍼시카4</t>
        </is>
      </c>
      <c r="C167" s="34" t="inlineStr">
        <is>
          <t>(예) Centella Asiatica Extract, Madecassoside, Asiaticoside, Madecassic Acid, Asiatic Acid — TDS 확인</t>
        </is>
      </c>
      <c r="D167" s="37" t="inlineStr">
        <is>
          <t>–</t>
        </is>
      </c>
      <c r="E167" s="57" t="inlineStr">
        <is>
          <t>활성</t>
        </is>
      </c>
      <c r="F167" s="34" t="inlineStr">
        <is>
          <t>진정 무드(병풀 4대 성분)</t>
        </is>
      </c>
      <c r="G167" s="34" t="inlineStr">
        <is>
          <t>식물</t>
        </is>
      </c>
      <c r="H167" s="34" t="inlineStr">
        <is>
          <t>병풀</t>
        </is>
      </c>
      <c r="I167" s="34" t="inlineStr">
        <is>
          <t>병풀 추출 → 트리터펜 4종 분리·농축 후 재배합</t>
        </is>
      </c>
      <c r="J167" s="34" t="inlineStr">
        <is>
          <t>트리터펜(TECA 계열)</t>
        </is>
      </c>
      <c r="K167" s="34" t="inlineStr">
        <is>
          <t>액상</t>
        </is>
      </c>
      <c r="L167" s="34" t="inlineStr">
        <is>
          <t>연노랑</t>
        </is>
      </c>
      <c r="M167" s="34" t="inlineStr">
        <is>
          <t>약한 풀향</t>
        </is>
      </c>
      <c r="N167" s="34" t="inlineStr">
        <is>
          <t>수용성(용매에 녹인 제품)</t>
        </is>
      </c>
      <c r="O167" s="34" t="inlineStr">
        <is>
          <t>냉각상</t>
        </is>
      </c>
      <c r="P167" s="34" t="inlineStr">
        <is>
          <t>산뜻</t>
        </is>
      </c>
      <c r="Q167" s="34" t="inlineStr">
        <is>
          <t>—</t>
        </is>
      </c>
      <c r="R167" s="34" t="inlineStr">
        <is>
          <t>—</t>
        </is>
      </c>
      <c r="S167" s="34" t="inlineStr">
        <is>
          <t>3~5%</t>
        </is>
      </c>
      <c r="T167" s="34" t="inlineStr">
        <is>
          <t>pH 4~7</t>
        </is>
      </c>
      <c r="U167" s="34" t="inlineStr">
        <is>
          <t>병풀추출물(다성분)보다 지표 성분 함량이 명확 — TDS의 ppm 확인</t>
        </is>
      </c>
      <c r="V167" s="34" t="inlineStr">
        <is>
          <t>₩15,000/100ml</t>
        </is>
      </c>
      <c r="W167" s="37" t="inlineStr">
        <is>
          <t>★★★★☆</t>
        </is>
      </c>
      <c r="X167" s="34" t="inlineStr">
        <is>
          <t>서늘</t>
        </is>
      </c>
      <c r="Y167" s="34" t="inlineStr">
        <is>
          <t>제한 없음 ('상처 치유·재생' 표방 금지)</t>
        </is>
      </c>
      <c r="Z167" s="34" t="inlineStr">
        <is>
          <t>지표 성분 함량 시험</t>
        </is>
      </c>
      <c r="AA167" s="34" t="inlineStr">
        <is>
          <t>병풀추출물·마데카소사이드</t>
        </is>
      </c>
      <c r="AB167" s="34" t="inlineStr">
        <is>
          <t>'시카' 라인 원료 서열: 추출물 &lt; 4대 성분 믹스 &lt; 마데카소사이드 단일</t>
        </is>
      </c>
      <c r="AC167" s="34" t="inlineStr">
        <is>
          <t>(공부) 병풀추출물·슈퍼시카4·마데카소사이드 TDS의 함량 단위 비교</t>
        </is>
      </c>
      <c r="AD167" s="34" t="inlineStr">
        <is>
          <t>허브누리</t>
        </is>
      </c>
      <c r="AE167" s="38" t="n"/>
      <c r="AF167" s="39" t="n"/>
      <c r="AG167" s="38" t="n"/>
    </row>
    <row r="168" ht="92" customHeight="1">
      <c r="A168" s="55" t="n">
        <v>164</v>
      </c>
      <c r="B168" s="56" t="inlineStr">
        <is>
          <t>사카로미세스 발효여과물</t>
        </is>
      </c>
      <c r="C168" s="34" t="inlineStr">
        <is>
          <t>Saccharomyces Ferment Filtrate</t>
        </is>
      </c>
      <c r="D168" s="37" t="inlineStr">
        <is>
          <t>–</t>
        </is>
      </c>
      <c r="E168" s="57" t="inlineStr">
        <is>
          <t>활성</t>
        </is>
      </c>
      <c r="F168" s="34" t="inlineStr">
        <is>
          <t>발효 스토리·결 정돈</t>
        </is>
      </c>
      <c r="G168" s="34" t="inlineStr">
        <is>
          <t>발효</t>
        </is>
      </c>
      <c r="H168" s="34" t="inlineStr">
        <is>
          <t>효모(누룩·사케 효모)</t>
        </is>
      </c>
      <c r="I168" s="34" t="inlineStr">
        <is>
          <t>당·쌀 발효 → 균체 제거 여과</t>
        </is>
      </c>
      <c r="J168" s="34" t="inlineStr">
        <is>
          <t>발효액(아미노산·유기산·당)</t>
        </is>
      </c>
      <c r="K168" s="34" t="inlineStr">
        <is>
          <t>액상</t>
        </is>
      </c>
      <c r="L168" s="34" t="inlineStr">
        <is>
          <t>무색~연노랑</t>
        </is>
      </c>
      <c r="M168" s="34" t="inlineStr">
        <is>
          <t>약한 발효취</t>
        </is>
      </c>
      <c r="N168" s="34" t="inlineStr">
        <is>
          <t>수용성</t>
        </is>
      </c>
      <c r="O168" s="34" t="inlineStr">
        <is>
          <t>냉각상</t>
        </is>
      </c>
      <c r="P168" s="34" t="inlineStr">
        <is>
          <t>산뜻·약간 촉촉</t>
        </is>
      </c>
      <c r="Q168" s="34" t="inlineStr">
        <is>
          <t>—</t>
        </is>
      </c>
      <c r="R168" s="34" t="inlineStr">
        <is>
          <t>—</t>
        </is>
      </c>
      <c r="S168" s="34" t="inlineStr">
        <is>
          <t>10~30% (에센스는 고%)</t>
        </is>
      </c>
      <c r="T168" s="34" t="inlineStr">
        <is>
          <t>pH 3.5~5 약산성</t>
        </is>
      </c>
      <c r="U168" s="34" t="inlineStr">
        <is>
          <t>발효액 = 미생물 영양 풍부 → 방부 필수</t>
        </is>
      </c>
      <c r="V168" s="34" t="inlineStr">
        <is>
          <t>₩12,000/100ml</t>
        </is>
      </c>
      <c r="W168" s="37" t="inlineStr">
        <is>
          <t>★★★☆☆</t>
        </is>
      </c>
      <c r="X168" s="34" t="inlineStr">
        <is>
          <t>냉장</t>
        </is>
      </c>
      <c r="Y168" s="34" t="inlineStr">
        <is>
          <t>제한 없음</t>
        </is>
      </c>
      <c r="Z168" s="34" t="inlineStr">
        <is>
          <t>—</t>
        </is>
      </c>
      <c r="AA168" s="34" t="inlineStr">
        <is>
          <t>갈락토미세스 발효여과물·락토바실러스 발효용해물</t>
        </is>
      </c>
      <c r="AB168" s="34" t="inlineStr">
        <is>
          <t>'갈락토미세스'(진균)와 다른 효모. 둘 다 에센스 베이스형</t>
        </is>
      </c>
      <c r="AC168" s="34" t="inlineStr">
        <is>
          <t>사카로미세스 vs 갈락토미세스 냄새·pH 비교</t>
        </is>
      </c>
      <c r="AD168" s="34" t="inlineStr">
        <is>
          <t>허브누리</t>
        </is>
      </c>
      <c r="AE168" s="38" t="n"/>
      <c r="AF168" s="39" t="n"/>
      <c r="AG168" s="38" t="n"/>
    </row>
    <row r="169" ht="92" customHeight="1">
      <c r="A169" s="55" t="n">
        <v>165</v>
      </c>
      <c r="B169" s="56" t="inlineStr">
        <is>
          <t>인삼 줄기세포배양액</t>
        </is>
      </c>
      <c r="C169" s="34" t="inlineStr">
        <is>
          <t>Panax Ginseng Callus Culture Extract</t>
        </is>
      </c>
      <c r="D169" s="37" t="inlineStr">
        <is>
          <t>–</t>
        </is>
      </c>
      <c r="E169" s="57" t="inlineStr">
        <is>
          <t>활성</t>
        </is>
      </c>
      <c r="F169" s="34" t="inlineStr">
        <is>
          <t>프리미엄 한방 스토리</t>
        </is>
      </c>
      <c r="G169" s="34" t="inlineStr">
        <is>
          <t>식물(배양)</t>
        </is>
      </c>
      <c r="H169" s="34" t="inlineStr">
        <is>
          <t>인삼 조직 → 캘러스(미분화 세포)</t>
        </is>
      </c>
      <c r="I169" s="34" t="inlineStr">
        <is>
          <t>무균 배양(바이오리액터) → 추출·여과</t>
        </is>
      </c>
      <c r="J169" s="34" t="inlineStr">
        <is>
          <t>배양 추출물(진세노사이드 등)</t>
        </is>
      </c>
      <c r="K169" s="34" t="inlineStr">
        <is>
          <t>액상</t>
        </is>
      </c>
      <c r="L169" s="34" t="inlineStr">
        <is>
          <t>연노랑</t>
        </is>
      </c>
      <c r="M169" s="34" t="inlineStr">
        <is>
          <t>약한 냄새</t>
        </is>
      </c>
      <c r="N169" s="34" t="inlineStr">
        <is>
          <t>수용성</t>
        </is>
      </c>
      <c r="O169" s="34" t="inlineStr">
        <is>
          <t>냉각상</t>
        </is>
      </c>
      <c r="P169" s="34" t="inlineStr">
        <is>
          <t>산뜻</t>
        </is>
      </c>
      <c r="Q169" s="34" t="inlineStr">
        <is>
          <t>—</t>
        </is>
      </c>
      <c r="R169" s="34" t="inlineStr">
        <is>
          <t>—</t>
        </is>
      </c>
      <c r="S169" s="34" t="inlineStr">
        <is>
          <t>3~10%</t>
        </is>
      </c>
      <c r="T169" s="34" t="inlineStr">
        <is>
          <t>pH 4~7</t>
        </is>
      </c>
      <c r="U169" s="34" t="inlineStr">
        <is>
          <t>★ '줄기세포' 표현 = 인체 줄기세포 오인 주의 → '식물 유래 배양물' 명시, '재생' 표방 금지</t>
        </is>
      </c>
      <c r="V169" s="34" t="inlineStr">
        <is>
          <t>₩20,000/100ml</t>
        </is>
      </c>
      <c r="W169" s="37" t="inlineStr">
        <is>
          <t>★★★☆☆</t>
        </is>
      </c>
      <c r="X169" s="34" t="inlineStr">
        <is>
          <t>냉장</t>
        </is>
      </c>
      <c r="Y169" s="34" t="inlineStr">
        <is>
          <t>제한 없음 (광고 표현 가이드 확인)</t>
        </is>
      </c>
      <c r="Z169" s="34" t="inlineStr">
        <is>
          <t>광고 표현 리스크 사례</t>
        </is>
      </c>
      <c r="AA169" s="34" t="inlineStr">
        <is>
          <t>인삼추출물·부활초 줄기세포(캘러스) 배양액</t>
        </is>
      </c>
      <c r="AB169" s="34" t="inlineStr">
        <is>
          <t>재배 인삼 추출물보다 비싸고 스토리↑, 효능 차이는 TDS 근거로 판단</t>
        </is>
      </c>
      <c r="AC169" s="34" t="inlineStr">
        <is>
          <t>(공부) 인삼추출물 vs 캘러스 배양액 — 원재료가 '밭'인지 '배양기'인지 정리</t>
        </is>
      </c>
      <c r="AD169" s="34" t="inlineStr">
        <is>
          <t>허브누리</t>
        </is>
      </c>
      <c r="AE169" s="38" t="n"/>
      <c r="AF169" s="39" t="n"/>
      <c r="AG169" s="38" t="n"/>
    </row>
    <row r="170" ht="92" customHeight="1">
      <c r="A170" s="55" t="n">
        <v>166</v>
      </c>
      <c r="B170" s="56" t="inlineStr">
        <is>
          <t>부활초 줄기세포(캘러스) 배양액</t>
        </is>
      </c>
      <c r="C170" s="34" t="inlineStr">
        <is>
          <t>(예) Selaginella Lepidophylla Callus Culture Extract — TDS 확인 (부활초는 Anastatica hierochuntica도 있음)</t>
        </is>
      </c>
      <c r="D170" s="37" t="inlineStr">
        <is>
          <t>–</t>
        </is>
      </c>
      <c r="E170" s="57" t="inlineStr">
        <is>
          <t>활성</t>
        </is>
      </c>
      <c r="F170" s="34" t="inlineStr">
        <is>
          <t>건조 내성 스토리</t>
        </is>
      </c>
      <c r="G170" s="34" t="inlineStr">
        <is>
          <t>식물(배양)</t>
        </is>
      </c>
      <c r="H170" s="34" t="inlineStr">
        <is>
          <t>부활초 캘러스</t>
        </is>
      </c>
      <c r="I170" s="34" t="inlineStr">
        <is>
          <t>무균 배양 → 추출</t>
        </is>
      </c>
      <c r="J170" s="34" t="inlineStr">
        <is>
          <t>배양 추출물(당류·트레할로스 계열)</t>
        </is>
      </c>
      <c r="K170" s="34" t="inlineStr">
        <is>
          <t>액상</t>
        </is>
      </c>
      <c r="L170" s="34" t="inlineStr">
        <is>
          <t>무색~연노랑</t>
        </is>
      </c>
      <c r="M170" s="34" t="inlineStr">
        <is>
          <t>거의 무취</t>
        </is>
      </c>
      <c r="N170" s="34" t="inlineStr">
        <is>
          <t>수용성</t>
        </is>
      </c>
      <c r="O170" s="34" t="inlineStr">
        <is>
          <t>냉각상</t>
        </is>
      </c>
      <c r="P170" s="34" t="inlineStr">
        <is>
          <t>산뜻·촉촉</t>
        </is>
      </c>
      <c r="Q170" s="34" t="inlineStr">
        <is>
          <t>—</t>
        </is>
      </c>
      <c r="R170" s="34" t="inlineStr">
        <is>
          <t>—</t>
        </is>
      </c>
      <c r="S170" s="34" t="inlineStr">
        <is>
          <t>5~10%</t>
        </is>
      </c>
      <c r="T170" s="34" t="inlineStr">
        <is>
          <t>pH 4~7</t>
        </is>
      </c>
      <c r="U170" s="34" t="inlineStr">
        <is>
          <t>부활초 = 말라도 물 만나면 살아나는 식물 → '수분' 스토리. 학명 두 종이라 INCI 확인 필수</t>
        </is>
      </c>
      <c r="V170" s="34" t="inlineStr">
        <is>
          <t>₩20,000/100ml</t>
        </is>
      </c>
      <c r="W170" s="37" t="inlineStr">
        <is>
          <t>★★☆☆☆</t>
        </is>
      </c>
      <c r="X170" s="34" t="inlineStr">
        <is>
          <t>냉장</t>
        </is>
      </c>
      <c r="Y170" s="34" t="inlineStr">
        <is>
          <t>제한 없음 ('줄기세포·재생' 표현 주의)</t>
        </is>
      </c>
      <c r="Z170" s="34" t="inlineStr">
        <is>
          <t>—</t>
        </is>
      </c>
      <c r="AA170" s="34" t="inlineStr">
        <is>
          <t>인삼 줄기세포배양액·트레할로스</t>
        </is>
      </c>
      <c r="AB170" s="34" t="inlineStr">
        <is>
          <t>스토리가 핵심. 같은 '건조 보호'는 트레할로스가 싸고 근거 명확</t>
        </is>
      </c>
      <c r="AC170" s="34" t="inlineStr">
        <is>
          <t>(공부) TDS 받아 학명 확인 → 카드 INCI 고쳐 쓰기</t>
        </is>
      </c>
      <c r="AD170" s="34" t="inlineStr">
        <is>
          <t>허브누리</t>
        </is>
      </c>
      <c r="AE170" s="38" t="n"/>
      <c r="AF170" s="39" t="n"/>
      <c r="AG170" s="38" t="n"/>
    </row>
    <row r="171" ht="92" customHeight="1">
      <c r="A171" s="55" t="n">
        <v>167</v>
      </c>
      <c r="B171" s="56" t="inlineStr">
        <is>
          <t>FGF(섬유아세포 성장인자)</t>
        </is>
      </c>
      <c r="C171" s="34" t="inlineStr">
        <is>
          <t>(예) sh-Polypeptide-1 (bFGF) — TDS 확인</t>
        </is>
      </c>
      <c r="D171" s="37" t="inlineStr">
        <is>
          <t>–</t>
        </is>
      </c>
      <c r="E171" s="57" t="inlineStr">
        <is>
          <t>활성</t>
        </is>
      </c>
      <c r="F171" s="34" t="inlineStr">
        <is>
          <t>탄력 스토리 성장인자</t>
        </is>
      </c>
      <c r="G171" s="34" t="inlineStr">
        <is>
          <t>합성(재조합)</t>
        </is>
      </c>
      <c r="H171" s="34" t="inlineStr">
        <is>
          <t>재조합 단백질(대장균·효모 발현)</t>
        </is>
      </c>
      <c r="I171" s="34" t="inlineStr">
        <is>
          <t>유전자 재조합 발현 → 정제 → 용액(ppm 단위)</t>
        </is>
      </c>
      <c r="J171" s="34" t="inlineStr">
        <is>
          <t>재조합 폴리펩타이드</t>
        </is>
      </c>
      <c r="K171" s="34" t="inlineStr">
        <is>
          <t>액상(희석액)</t>
        </is>
      </c>
      <c r="L171" s="34" t="inlineStr">
        <is>
          <t>무색</t>
        </is>
      </c>
      <c r="M171" s="34" t="inlineStr">
        <is>
          <t>무취</t>
        </is>
      </c>
      <c r="N171" s="34" t="inlineStr">
        <is>
          <t>수용성</t>
        </is>
      </c>
      <c r="O171" s="34" t="inlineStr">
        <is>
          <t>냉각상(열·단백분해 취약)</t>
        </is>
      </c>
      <c r="P171" s="34" t="inlineStr">
        <is>
          <t>산뜻</t>
        </is>
      </c>
      <c r="Q171" s="34" t="inlineStr">
        <is>
          <t>—</t>
        </is>
      </c>
      <c r="R171" s="34" t="inlineStr">
        <is>
          <t>—</t>
        </is>
      </c>
      <c r="S171" s="34" t="inlineStr">
        <is>
          <t>원액 1~10% (유효성분은 ppm)</t>
        </is>
      </c>
      <c r="T171" s="34" t="inlineStr">
        <is>
          <t>단백질 → 열·pH 극단·미생물에 약함</t>
        </is>
      </c>
      <c r="U171" s="34" t="inlineStr">
        <is>
          <t>★ '진피·콜라겐 합성·재생' 표현 = 의약품 오인. EGF와 묶여 '4GF' 같은 블렌드로 흔함</t>
        </is>
      </c>
      <c r="V171" s="34" t="inlineStr">
        <is>
          <t>₩20,000/30ml</t>
        </is>
      </c>
      <c r="W171" s="37" t="inlineStr">
        <is>
          <t>★★★☆☆</t>
        </is>
      </c>
      <c r="X171" s="34" t="inlineStr">
        <is>
          <t>냉장</t>
        </is>
      </c>
      <c r="Y171" s="34" t="inlineStr">
        <is>
          <t>제한 없음 (광고 표현 주의)</t>
        </is>
      </c>
      <c r="Z171" s="34" t="inlineStr">
        <is>
          <t>—</t>
        </is>
      </c>
      <c r="AA171" s="34" t="inlineStr">
        <is>
          <t>EGF (sh-올리고펩타이드-1)·코퍼트라이펩타이드-1(GHK-Cu)</t>
        </is>
      </c>
      <c r="AB171" s="34" t="inlineStr">
        <is>
          <t>원액 % ≠ 성장인자 함량. ppm·단위(IU)로 비교</t>
        </is>
      </c>
      <c r="AC171" s="34" t="inlineStr">
        <is>
          <t>(공부) EGF·FGF 원액 TDS의 실제 ppm 비교 → 가격 대비 계산</t>
        </is>
      </c>
      <c r="AD171" s="34" t="inlineStr">
        <is>
          <t>허브누리</t>
        </is>
      </c>
      <c r="AE171" s="38" t="n"/>
      <c r="AF171" s="39" t="n"/>
      <c r="AG171" s="38" t="n"/>
    </row>
    <row r="172" ht="92" customHeight="1">
      <c r="A172" s="55" t="n">
        <v>168</v>
      </c>
      <c r="B172" s="56" t="inlineStr">
        <is>
          <t>보르피린</t>
        </is>
      </c>
      <c r="C172" s="34" t="inlineStr">
        <is>
          <t>(예) Glycerin, Water, Anemarrhena Asphodeloides Root Extract (Volufiline™, Sederma) — TDS 확인</t>
        </is>
      </c>
      <c r="D172" s="37" t="inlineStr">
        <is>
          <t>–</t>
        </is>
      </c>
      <c r="E172" s="57" t="inlineStr">
        <is>
          <t>활성</t>
        </is>
      </c>
      <c r="F172" s="34" t="inlineStr">
        <is>
          <t>볼륨감 스토리(원료사 마케팅)</t>
        </is>
      </c>
      <c r="G172" s="34" t="inlineStr">
        <is>
          <t>식물</t>
        </is>
      </c>
      <c r="H172" s="34" t="inlineStr">
        <is>
          <t>지모(知母) 뿌리</t>
        </is>
      </c>
      <c r="I172" s="34" t="inlineStr">
        <is>
          <t>추출 → 사르사사포게닌 표준화</t>
        </is>
      </c>
      <c r="J172" s="34" t="inlineStr">
        <is>
          <t>스테로이드 사포게닌 함유 추출물</t>
        </is>
      </c>
      <c r="K172" s="34" t="inlineStr">
        <is>
          <t>액상</t>
        </is>
      </c>
      <c r="L172" s="34" t="inlineStr">
        <is>
          <t>연노랑</t>
        </is>
      </c>
      <c r="M172" s="34" t="inlineStr">
        <is>
          <t>약한 냄새</t>
        </is>
      </c>
      <c r="N172" s="34" t="inlineStr">
        <is>
          <t>수용성</t>
        </is>
      </c>
      <c r="O172" s="34" t="inlineStr">
        <is>
          <t>냉각상</t>
        </is>
      </c>
      <c r="P172" s="34" t="inlineStr">
        <is>
          <t>약간 촉촉</t>
        </is>
      </c>
      <c r="Q172" s="34" t="inlineStr">
        <is>
          <t>—</t>
        </is>
      </c>
      <c r="R172" s="34" t="inlineStr">
        <is>
          <t>—</t>
        </is>
      </c>
      <c r="S172" s="34" t="inlineStr">
        <is>
          <t>2~5% (원료사 권장 내)</t>
        </is>
      </c>
      <c r="T172" s="34" t="inlineStr">
        <is>
          <t>pH 4~7</t>
        </is>
      </c>
      <c r="U172" s="34" t="inlineStr">
        <is>
          <t>★ '지방세포·볼륨 증가·가슴' 표현 = 신체 변화 표방 → 광고 금지. 원료사 in-vitro 자료일 뿐</t>
        </is>
      </c>
      <c r="V172" s="34" t="inlineStr">
        <is>
          <t>₩20,000/50ml</t>
        </is>
      </c>
      <c r="W172" s="37" t="inlineStr">
        <is>
          <t>★★★☆☆</t>
        </is>
      </c>
      <c r="X172" s="34" t="inlineStr">
        <is>
          <t>서늘</t>
        </is>
      </c>
      <c r="Y172" s="34" t="inlineStr">
        <is>
          <t>제한 없음 (광고 표현 주의)</t>
        </is>
      </c>
      <c r="Z172" s="34" t="inlineStr">
        <is>
          <t>광고 표현 리스크 사례</t>
        </is>
      </c>
      <c r="AA172" s="34" t="inlineStr">
        <is>
          <t>매트릭실 3000 (팔미토일 펩타이드)·아데노신</t>
        </is>
      </c>
      <c r="AB172" s="34" t="inlineStr">
        <is>
          <t>탄력 표방은 아데노신(주름 고시)이 OEM에 안전</t>
        </is>
      </c>
      <c r="AC172" s="34" t="inlineStr">
        <is>
          <t>(공부) 원료사 브로슈어의 '효능 데이터'와 '광고 가능한 문장' 구분해 적기</t>
        </is>
      </c>
      <c r="AD172" s="34" t="inlineStr">
        <is>
          <t>허브누리</t>
        </is>
      </c>
      <c r="AE172" s="38" t="n"/>
      <c r="AF172" s="39" t="n"/>
      <c r="AG172" s="38" t="n"/>
    </row>
    <row r="173" ht="92" customHeight="1">
      <c r="A173" s="55" t="n">
        <v>169</v>
      </c>
      <c r="B173" s="56" t="inlineStr">
        <is>
          <t>실크엘라스틴</t>
        </is>
      </c>
      <c r="C173" s="34" t="inlineStr">
        <is>
          <t>(예) Hydrolyzed Silk, Hydrolyzed Elastin 또는 재조합 Silk-Elastin Protein — TDS 확인</t>
        </is>
      </c>
      <c r="D173" s="37" t="inlineStr">
        <is>
          <t>–</t>
        </is>
      </c>
      <c r="E173" s="57" t="inlineStr">
        <is>
          <t>활성</t>
        </is>
      </c>
      <c r="F173" s="34" t="inlineStr">
        <is>
          <t>모발·피부 매끄러움(단백질 막)</t>
        </is>
      </c>
      <c r="G173" s="34" t="inlineStr">
        <is>
          <t>동물(누에)+동물/합성</t>
        </is>
      </c>
      <c r="H173" s="34" t="inlineStr">
        <is>
          <t>누에고치 실크 + 엘라스틴</t>
        </is>
      </c>
      <c r="I173" s="34" t="inlineStr">
        <is>
          <t>가수분해(산·효소) → 저분자 펩타이드화</t>
        </is>
      </c>
      <c r="J173" s="34" t="inlineStr">
        <is>
          <t>가수분해 단백질</t>
        </is>
      </c>
      <c r="K173" s="34" t="inlineStr">
        <is>
          <t>액상</t>
        </is>
      </c>
      <c r="L173" s="34" t="inlineStr">
        <is>
          <t>연노랑</t>
        </is>
      </c>
      <c r="M173" s="34" t="inlineStr">
        <is>
          <t>약한 단백질취</t>
        </is>
      </c>
      <c r="N173" s="34" t="inlineStr">
        <is>
          <t>수용성</t>
        </is>
      </c>
      <c r="O173" s="34" t="inlineStr">
        <is>
          <t>냉각상</t>
        </is>
      </c>
      <c r="P173" s="34" t="inlineStr">
        <is>
          <t>매끈·약간 코팅</t>
        </is>
      </c>
      <c r="Q173" s="34" t="inlineStr">
        <is>
          <t>잘 퍼짐</t>
        </is>
      </c>
      <c r="R173" s="34" t="inlineStr">
        <is>
          <t>매끈</t>
        </is>
      </c>
      <c r="S173" s="34" t="inlineStr">
        <is>
          <t>1~5%</t>
        </is>
      </c>
      <c r="T173" s="34" t="inlineStr">
        <is>
          <t>단백질 → 미생물·열 취약</t>
        </is>
      </c>
      <c r="U173" s="34" t="inlineStr">
        <is>
          <t>헤어 린스·트리트먼트에서 손상모 매끈함 체감 큼</t>
        </is>
      </c>
      <c r="V173" s="34" t="inlineStr">
        <is>
          <t>₩12,000/100ml</t>
        </is>
      </c>
      <c r="W173" s="37" t="inlineStr">
        <is>
          <t>★★★☆☆</t>
        </is>
      </c>
      <c r="X173" s="34" t="inlineStr">
        <is>
          <t>냉장</t>
        </is>
      </c>
      <c r="Y173" s="34" t="inlineStr">
        <is>
          <t>제한 없음</t>
        </is>
      </c>
      <c r="Z173" s="34" t="inlineStr">
        <is>
          <t>—</t>
        </is>
      </c>
      <c r="AA173" s="34" t="inlineStr">
        <is>
          <t>실크아미노산·마린엘라스틴·가수분해콜라겐</t>
        </is>
      </c>
      <c r="AB173" s="34" t="inlineStr">
        <is>
          <t>실크아미노산(더 작음, 보습) vs 실크엘라스틴(막·매끈)</t>
        </is>
      </c>
      <c r="AC173" s="34" t="inlineStr">
        <is>
          <t>물 100에 2% 넣고 머리카락 몇 가닥 담갔다 말린 뒤 매끈함 비교</t>
        </is>
      </c>
      <c r="AD173" s="34" t="inlineStr">
        <is>
          <t>허브누리</t>
        </is>
      </c>
      <c r="AE173" s="38" t="n"/>
      <c r="AF173" s="39" t="n"/>
      <c r="AG173" s="38" t="n"/>
    </row>
    <row r="174" ht="92" customHeight="1">
      <c r="A174" s="55" t="n">
        <v>170</v>
      </c>
      <c r="B174" s="56" t="inlineStr">
        <is>
          <t>마린엘라스틴</t>
        </is>
      </c>
      <c r="C174" s="34" t="inlineStr">
        <is>
          <t>Hydrolyzed Elastin (어류 유래 — TDS 확인)</t>
        </is>
      </c>
      <c r="D174" s="37" t="inlineStr">
        <is>
          <t>–</t>
        </is>
      </c>
      <c r="E174" s="57" t="inlineStr">
        <is>
          <t>활성</t>
        </is>
      </c>
      <c r="F174" s="34" t="inlineStr">
        <is>
          <t>탄력감 스토리(단백질 막)</t>
        </is>
      </c>
      <c r="G174" s="34" t="inlineStr">
        <is>
          <t>동물(어류)</t>
        </is>
      </c>
      <c r="H174" s="34" t="inlineStr">
        <is>
          <t>가다랑어 등 생선 껍질·동맥구</t>
        </is>
      </c>
      <c r="I174" s="34" t="inlineStr">
        <is>
          <t>효소 가수분해 → 정제</t>
        </is>
      </c>
      <c r="J174" s="34" t="inlineStr">
        <is>
          <t>가수분해 단백질</t>
        </is>
      </c>
      <c r="K174" s="34" t="inlineStr">
        <is>
          <t>액상</t>
        </is>
      </c>
      <c r="L174" s="34" t="inlineStr">
        <is>
          <t>무색~연노랑</t>
        </is>
      </c>
      <c r="M174" s="34" t="inlineStr">
        <is>
          <t>약한 비린취 가능</t>
        </is>
      </c>
      <c r="N174" s="34" t="inlineStr">
        <is>
          <t>수용성</t>
        </is>
      </c>
      <c r="O174" s="34" t="inlineStr">
        <is>
          <t>냉각상</t>
        </is>
      </c>
      <c r="P174" s="34" t="inlineStr">
        <is>
          <t>약간 매끈·쫀쫀</t>
        </is>
      </c>
      <c r="Q174" s="34" t="inlineStr">
        <is>
          <t>—</t>
        </is>
      </c>
      <c r="R174" s="34" t="inlineStr">
        <is>
          <t>—</t>
        </is>
      </c>
      <c r="S174" s="34" t="inlineStr">
        <is>
          <t>2~5%</t>
        </is>
      </c>
      <c r="T174" s="34" t="inlineStr">
        <is>
          <t>단백질 → 변질 주의</t>
        </is>
      </c>
      <c r="U174" s="34" t="inlineStr">
        <is>
          <t>★ 어류 알레르기·비건 불가. 비린내는 향으로 마스킹</t>
        </is>
      </c>
      <c r="V174" s="34" t="inlineStr">
        <is>
          <t>₩15,000/100ml</t>
        </is>
      </c>
      <c r="W174" s="37" t="inlineStr">
        <is>
          <t>★★★☆☆</t>
        </is>
      </c>
      <c r="X174" s="34" t="inlineStr">
        <is>
          <t>냉장</t>
        </is>
      </c>
      <c r="Y174" s="34" t="inlineStr">
        <is>
          <t>제한 없음</t>
        </is>
      </c>
      <c r="Z174" s="34" t="inlineStr">
        <is>
          <t>—</t>
        </is>
      </c>
      <c r="AA174" s="34" t="inlineStr">
        <is>
          <t>가수분해콜라겐(마린·식물 콜라겐)·실크엘라스틴</t>
        </is>
      </c>
      <c r="AB174" s="34" t="inlineStr">
        <is>
          <t>콜라겐과 함께 '탄력' 라인 스토리. 비건이면 제외</t>
        </is>
      </c>
      <c r="AC174" s="34" t="inlineStr">
        <is>
          <t>마린엘라스틴 3% 수용액 냄새 확인 — 향 마스킹 필요한지</t>
        </is>
      </c>
      <c r="AD174" s="34" t="inlineStr">
        <is>
          <t>허브누리</t>
        </is>
      </c>
      <c r="AE174" s="38" t="n"/>
      <c r="AF174" s="39" t="n"/>
      <c r="AG174" s="38" t="n"/>
    </row>
    <row r="175" ht="92" customHeight="1">
      <c r="A175" s="58" t="n">
        <v>171</v>
      </c>
      <c r="B175" s="59" t="inlineStr">
        <is>
          <t>토코페롤(비타민E)</t>
        </is>
      </c>
      <c r="C175" s="34" t="inlineStr">
        <is>
          <t>Tocopherol</t>
        </is>
      </c>
      <c r="D175" s="35" t="inlineStr">
        <is>
          <t>✓</t>
        </is>
      </c>
      <c r="E175" s="60" t="inlineStr">
        <is>
          <t>항산화</t>
        </is>
      </c>
      <c r="F175" s="34" t="inlineStr">
        <is>
          <t>오일 산패 방지</t>
        </is>
      </c>
      <c r="G175" s="34" t="inlineStr">
        <is>
          <t>식물/합성</t>
        </is>
      </c>
      <c r="H175" s="34" t="inlineStr">
        <is>
          <t>대두·해바라기 정제 부산물(탈취 증류물)</t>
        </is>
      </c>
      <c r="I175" s="34" t="inlineStr">
        <is>
          <t>분자증류 → 혼합 토코페롤 / 합성(dl-α)</t>
        </is>
      </c>
      <c r="J175" s="34" t="inlineStr">
        <is>
          <t>비타민 E</t>
        </is>
      </c>
      <c r="K175" s="34" t="inlineStr">
        <is>
          <t>점성 액상</t>
        </is>
      </c>
      <c r="L175" s="34" t="inlineStr">
        <is>
          <t>연황~갈색</t>
        </is>
      </c>
      <c r="M175" s="34" t="inlineStr">
        <is>
          <t>약한 기름취</t>
        </is>
      </c>
      <c r="N175" s="34" t="inlineStr">
        <is>
          <t>유용성</t>
        </is>
      </c>
      <c r="O175" s="34" t="inlineStr">
        <is>
          <t>B상 or 냉각상</t>
        </is>
      </c>
      <c r="P175" s="34" t="inlineStr">
        <is>
          <t>무감(고%면 끈적)</t>
        </is>
      </c>
      <c r="Q175" s="34" t="inlineStr">
        <is>
          <t>—</t>
        </is>
      </c>
      <c r="R175" s="34" t="inlineStr">
        <is>
          <t>—</t>
        </is>
      </c>
      <c r="S175" s="34" t="inlineStr">
        <is>
          <t>0.1~0.5% (항산화 목적)</t>
        </is>
      </c>
      <c r="T175" s="34" t="inlineStr">
        <is>
          <t>자체가 산화되며 오일 보호</t>
        </is>
      </c>
      <c r="U175" s="34" t="inlineStr">
        <is>
          <t>불포화 오일(로즈힙·해바라기) 있으면 필수. 토코페릴아세테이트는 산화방지력 약함(안정형)</t>
        </is>
      </c>
      <c r="V175" s="34" t="inlineStr">
        <is>
          <t>₩6,000~10,000/50g</t>
        </is>
      </c>
      <c r="W175" s="37" t="inlineStr">
        <is>
          <t>★★★★★</t>
        </is>
      </c>
      <c r="X175" s="34" t="inlineStr">
        <is>
          <t>차광·서늘</t>
        </is>
      </c>
      <c r="Y175" s="34" t="inlineStr">
        <is>
          <t>★ 사용제한(기타): 토코페롤 20%</t>
        </is>
      </c>
      <c r="Z175" s="34" t="inlineStr">
        <is>
          <t>사용제한 '토코페롤 20%'</t>
        </is>
      </c>
      <c r="AA175" s="34" t="inlineStr">
        <is>
          <t>로즈마리추출물·BHT·아스코빌팔미테이트</t>
        </is>
      </c>
      <c r="AB175" s="34" t="inlineStr">
        <is>
          <t>천연 항산화 1순위. 향 영향 적음</t>
        </is>
      </c>
      <c r="AC175" s="34" t="inlineStr">
        <is>
          <t>해바라기유 산패 테스트의 대조군으로 사용</t>
        </is>
      </c>
      <c r="AD175" s="34" t="inlineStr">
        <is>
          <t>기본</t>
        </is>
      </c>
      <c r="AE175" s="38" t="n"/>
      <c r="AF175" s="39" t="n"/>
      <c r="AG175" s="38" t="n"/>
    </row>
    <row r="176" ht="92" customHeight="1">
      <c r="A176" s="58" t="n">
        <v>172</v>
      </c>
      <c r="B176" s="59" t="inlineStr">
        <is>
          <t>로즈마리추출물(올레오레진)</t>
        </is>
      </c>
      <c r="C176" s="34" t="inlineStr">
        <is>
          <t>Rosmarinus Officinalis Leaf Extract</t>
        </is>
      </c>
      <c r="D176" s="37" t="inlineStr">
        <is>
          <t>–</t>
        </is>
      </c>
      <c r="E176" s="60" t="inlineStr">
        <is>
          <t>항산화</t>
        </is>
      </c>
      <c r="F176" s="34" t="inlineStr">
        <is>
          <t>오일 산패 방지</t>
        </is>
      </c>
      <c r="G176" s="34" t="inlineStr">
        <is>
          <t>식물</t>
        </is>
      </c>
      <c r="H176" s="34" t="inlineStr">
        <is>
          <t>로즈마리 잎</t>
        </is>
      </c>
      <c r="I176" s="34" t="inlineStr">
        <is>
          <t>CO₂/용매 추출 → 카르노식산 농축</t>
        </is>
      </c>
      <c r="J176" s="34" t="inlineStr">
        <is>
          <t>폴리페놀(카르노식산)</t>
        </is>
      </c>
      <c r="K176" s="34" t="inlineStr">
        <is>
          <t>점성 액</t>
        </is>
      </c>
      <c r="L176" s="34" t="inlineStr">
        <is>
          <t>갈색</t>
        </is>
      </c>
      <c r="M176" s="34" t="inlineStr">
        <is>
          <t>강한 허브향</t>
        </is>
      </c>
      <c r="N176" s="34" t="inlineStr">
        <is>
          <t>유용성</t>
        </is>
      </c>
      <c r="O176" s="34" t="inlineStr">
        <is>
          <t>B상</t>
        </is>
      </c>
      <c r="P176" s="34" t="inlineStr">
        <is>
          <t>—</t>
        </is>
      </c>
      <c r="Q176" s="34" t="inlineStr">
        <is>
          <t>—</t>
        </is>
      </c>
      <c r="R176" s="34" t="inlineStr">
        <is>
          <t>—</t>
        </is>
      </c>
      <c r="S176" s="34" t="inlineStr">
        <is>
          <t>0.05~0.2%</t>
        </is>
      </c>
      <c r="T176" s="34" t="inlineStr">
        <is>
          <t>—</t>
        </is>
      </c>
      <c r="U176" s="34" t="inlineStr">
        <is>
          <t>향이 강해 무향 제품엔 부담. 토코페롤과 시너지</t>
        </is>
      </c>
      <c r="V176" s="34" t="inlineStr">
        <is>
          <t>₩15,000/30ml</t>
        </is>
      </c>
      <c r="W176" s="37" t="inlineStr">
        <is>
          <t>★★★☆☆</t>
        </is>
      </c>
      <c r="X176" s="34" t="inlineStr">
        <is>
          <t>차광</t>
        </is>
      </c>
      <c r="Y176" s="34" t="inlineStr">
        <is>
          <t>제한 없음</t>
        </is>
      </c>
      <c r="Z176" s="34" t="inlineStr">
        <is>
          <t>—</t>
        </is>
      </c>
      <c r="AA176" s="34" t="inlineStr">
        <is>
          <t>토코페롤·BHT</t>
        </is>
      </c>
      <c r="AB176" s="34" t="inlineStr">
        <is>
          <t>천연 항산화 보강</t>
        </is>
      </c>
      <c r="AC176" s="34" t="inlineStr">
        <is>
          <t>—</t>
        </is>
      </c>
      <c r="AD176" s="34" t="inlineStr">
        <is>
          <t>기본</t>
        </is>
      </c>
      <c r="AE176" s="38" t="n"/>
      <c r="AF176" s="39" t="n"/>
      <c r="AG176" s="38" t="n"/>
    </row>
    <row r="177" ht="92" customHeight="1">
      <c r="A177" s="58" t="n">
        <v>173</v>
      </c>
      <c r="B177" s="59" t="inlineStr">
        <is>
          <t>아스코빌팔미테이트</t>
        </is>
      </c>
      <c r="C177" s="34" t="inlineStr">
        <is>
          <t>Ascorbyl Palmitate</t>
        </is>
      </c>
      <c r="D177" s="37" t="inlineStr">
        <is>
          <t>–</t>
        </is>
      </c>
      <c r="E177" s="60" t="inlineStr">
        <is>
          <t>항산화</t>
        </is>
      </c>
      <c r="F177" s="34" t="inlineStr">
        <is>
          <t>오일 항산화 보조</t>
        </is>
      </c>
      <c r="G177" s="34" t="inlineStr">
        <is>
          <t>합성</t>
        </is>
      </c>
      <c r="H177" s="34" t="inlineStr">
        <is>
          <t>비타민C + 팔미트산</t>
        </is>
      </c>
      <c r="I177" s="34" t="inlineStr">
        <is>
          <t>에스터화</t>
        </is>
      </c>
      <c r="J177" s="34" t="inlineStr">
        <is>
          <t>유용성 비타민C 에스터</t>
        </is>
      </c>
      <c r="K177" s="34" t="inlineStr">
        <is>
          <t>분말</t>
        </is>
      </c>
      <c r="L177" s="34" t="inlineStr">
        <is>
          <t>백색~미황</t>
        </is>
      </c>
      <c r="M177" s="34" t="inlineStr">
        <is>
          <t>무취</t>
        </is>
      </c>
      <c r="N177" s="34" t="inlineStr">
        <is>
          <t>유용성(가온)</t>
        </is>
      </c>
      <c r="O177" s="34" t="inlineStr">
        <is>
          <t>B상</t>
        </is>
      </c>
      <c r="P177" s="34" t="inlineStr">
        <is>
          <t>—</t>
        </is>
      </c>
      <c r="Q177" s="34" t="inlineStr">
        <is>
          <t>—</t>
        </is>
      </c>
      <c r="R177" s="34" t="inlineStr">
        <is>
          <t>—</t>
        </is>
      </c>
      <c r="S177" s="34" t="inlineStr">
        <is>
          <t>0.01~0.2%</t>
        </is>
      </c>
      <c r="T177" s="34" t="inlineStr">
        <is>
          <t>자체는 불안정</t>
        </is>
      </c>
      <c r="U177" s="34" t="inlineStr">
        <is>
          <t>토코페롤과 시너지(재생)</t>
        </is>
      </c>
      <c r="V177" s="34" t="inlineStr">
        <is>
          <t>₩15,000/50g</t>
        </is>
      </c>
      <c r="W177" s="37" t="inlineStr">
        <is>
          <t>★★☆☆☆</t>
        </is>
      </c>
      <c r="X177" s="34" t="inlineStr">
        <is>
          <t>방습·차광</t>
        </is>
      </c>
      <c r="Y177" s="34" t="inlineStr">
        <is>
          <t>제한 없음</t>
        </is>
      </c>
      <c r="Z177" s="34" t="inlineStr">
        <is>
          <t>—</t>
        </is>
      </c>
      <c r="AA177" s="34" t="inlineStr">
        <is>
          <t>토코페롤·로즈마리추출물</t>
        </is>
      </c>
      <c r="AB177" s="34" t="inlineStr">
        <is>
          <t>오일 산패 방지 시너지용</t>
        </is>
      </c>
      <c r="AC177" s="34" t="inlineStr">
        <is>
          <t>—</t>
        </is>
      </c>
      <c r="AD177" s="34" t="inlineStr">
        <is>
          <t>도감 기능성</t>
        </is>
      </c>
      <c r="AE177" s="38" t="n"/>
      <c r="AF177" s="39" t="n"/>
      <c r="AG177" s="38" t="n"/>
    </row>
    <row r="178" ht="92" customHeight="1">
      <c r="A178" s="58" t="n">
        <v>174</v>
      </c>
      <c r="B178" s="59" t="inlineStr">
        <is>
          <t>페룰릭애씨드</t>
        </is>
      </c>
      <c r="C178" s="34" t="inlineStr">
        <is>
          <t>Ferulic Acid</t>
        </is>
      </c>
      <c r="D178" s="37" t="inlineStr">
        <is>
          <t>–</t>
        </is>
      </c>
      <c r="E178" s="60" t="inlineStr">
        <is>
          <t>항산화</t>
        </is>
      </c>
      <c r="F178" s="34" t="inlineStr">
        <is>
          <t>C+E 안정화</t>
        </is>
      </c>
      <c r="G178" s="34" t="inlineStr">
        <is>
          <t>식물</t>
        </is>
      </c>
      <c r="H178" s="34" t="inlineStr">
        <is>
          <t>쌀겨·옥수수 섬유</t>
        </is>
      </c>
      <c r="I178" s="34" t="inlineStr">
        <is>
          <t>가수분해 추출 → 결정</t>
        </is>
      </c>
      <c r="J178" s="34" t="inlineStr">
        <is>
          <t>하이드록시신남산</t>
        </is>
      </c>
      <c r="K178" s="34" t="inlineStr">
        <is>
          <t>분말</t>
        </is>
      </c>
      <c r="L178" s="34" t="inlineStr">
        <is>
          <t>미황</t>
        </is>
      </c>
      <c r="M178" s="34" t="inlineStr">
        <is>
          <t>약한 냄새</t>
        </is>
      </c>
      <c r="N178" s="34" t="inlineStr">
        <is>
          <t>물 난용(에탄올·글라이콜에 용해)</t>
        </is>
      </c>
      <c r="O178" s="34" t="inlineStr">
        <is>
          <t>냉각상, 용제에 녹임</t>
        </is>
      </c>
      <c r="P178" s="34" t="inlineStr">
        <is>
          <t>무감</t>
        </is>
      </c>
      <c r="Q178" s="34" t="inlineStr">
        <is>
          <t>—</t>
        </is>
      </c>
      <c r="R178" s="34" t="inlineStr">
        <is>
          <t>—</t>
        </is>
      </c>
      <c r="S178" s="34" t="inlineStr">
        <is>
          <t>0.5%</t>
        </is>
      </c>
      <c r="T178" s="34" t="inlineStr">
        <is>
          <t>저pH에서 석출</t>
        </is>
      </c>
      <c r="U178" s="34" t="inlineStr">
        <is>
          <t>'C 15% + E 1% + 페룰릭 0.5%' 조합이 유명</t>
        </is>
      </c>
      <c r="V178" s="34" t="inlineStr">
        <is>
          <t>₩20,000/50g</t>
        </is>
      </c>
      <c r="W178" s="37" t="inlineStr">
        <is>
          <t>★★☆☆☆</t>
        </is>
      </c>
      <c r="X178" s="34" t="inlineStr">
        <is>
          <t>차광</t>
        </is>
      </c>
      <c r="Y178" s="34" t="inlineStr">
        <is>
          <t>제한 없음</t>
        </is>
      </c>
      <c r="Z178" s="34" t="inlineStr">
        <is>
          <t>—</t>
        </is>
      </c>
      <c r="AA178" s="34" t="inlineStr">
        <is>
          <t>레스베라트롤</t>
        </is>
      </c>
      <c r="AB178" s="34" t="inlineStr">
        <is>
          <t>순수 C 세럼 안정화 보조</t>
        </is>
      </c>
      <c r="AC178" s="34" t="inlineStr">
        <is>
          <t>—</t>
        </is>
      </c>
      <c r="AD178" s="34" t="inlineStr">
        <is>
          <t>도감 기능성</t>
        </is>
      </c>
      <c r="AE178" s="38" t="n"/>
      <c r="AF178" s="39" t="n"/>
      <c r="AG178" s="38" t="n"/>
    </row>
    <row r="179" ht="92" customHeight="1">
      <c r="A179" s="58" t="n">
        <v>175</v>
      </c>
      <c r="B179" s="59" t="inlineStr">
        <is>
          <t>레스베라트롤</t>
        </is>
      </c>
      <c r="C179" s="34" t="inlineStr">
        <is>
          <t>Resveratrol</t>
        </is>
      </c>
      <c r="D179" s="37" t="inlineStr">
        <is>
          <t>–</t>
        </is>
      </c>
      <c r="E179" s="60" t="inlineStr">
        <is>
          <t>항산화</t>
        </is>
      </c>
      <c r="F179" s="34" t="inlineStr">
        <is>
          <t>항산화 이미지</t>
        </is>
      </c>
      <c r="G179" s="34" t="inlineStr">
        <is>
          <t>식물</t>
        </is>
      </c>
      <c r="H179" s="34" t="inlineStr">
        <is>
          <t>호장근(Polygonum cuspidatum)·포도 껍질</t>
        </is>
      </c>
      <c r="I179" s="34" t="inlineStr">
        <is>
          <t>용매 추출 → 정제</t>
        </is>
      </c>
      <c r="J179" s="34" t="inlineStr">
        <is>
          <t>스틸벤 폴리페놀</t>
        </is>
      </c>
      <c r="K179" s="34" t="inlineStr">
        <is>
          <t>분말</t>
        </is>
      </c>
      <c r="L179" s="34" t="inlineStr">
        <is>
          <t>미백~미황</t>
        </is>
      </c>
      <c r="M179" s="34" t="inlineStr">
        <is>
          <t>무취</t>
        </is>
      </c>
      <c r="N179" s="34" t="inlineStr">
        <is>
          <t>물 난용</t>
        </is>
      </c>
      <c r="O179" s="34" t="inlineStr">
        <is>
          <t>냉각상, 용제에 녹임</t>
        </is>
      </c>
      <c r="P179" s="34" t="inlineStr">
        <is>
          <t>무감</t>
        </is>
      </c>
      <c r="Q179" s="34" t="inlineStr">
        <is>
          <t>—</t>
        </is>
      </c>
      <c r="R179" s="34" t="inlineStr">
        <is>
          <t>—</t>
        </is>
      </c>
      <c r="S179" s="34" t="inlineStr">
        <is>
          <t>0.1~1%</t>
        </is>
      </c>
      <c r="T179" s="34" t="inlineStr">
        <is>
          <t>빛·산화에 불안정</t>
        </is>
      </c>
      <c r="U179" s="34" t="inlineStr">
        <is>
          <t>차광 용기</t>
        </is>
      </c>
      <c r="V179" s="34" t="inlineStr">
        <is>
          <t>₩30,000/20g</t>
        </is>
      </c>
      <c r="W179" s="37" t="inlineStr">
        <is>
          <t>★★☆☆☆</t>
        </is>
      </c>
      <c r="X179" s="34" t="inlineStr">
        <is>
          <t>차광</t>
        </is>
      </c>
      <c r="Y179" s="34" t="inlineStr">
        <is>
          <t>제한 없음</t>
        </is>
      </c>
      <c r="Z179" s="34" t="inlineStr">
        <is>
          <t>—</t>
        </is>
      </c>
      <c r="AA179" s="34" t="inlineStr">
        <is>
          <t>유비퀴논·페룰릭</t>
        </is>
      </c>
      <c r="AB179" s="34" t="inlineStr">
        <is>
          <t>항산화 스토리 원료</t>
        </is>
      </c>
      <c r="AC179" s="34" t="inlineStr">
        <is>
          <t>—</t>
        </is>
      </c>
      <c r="AD179" s="34" t="inlineStr">
        <is>
          <t>도감 기능성</t>
        </is>
      </c>
      <c r="AE179" s="38" t="n"/>
      <c r="AF179" s="39" t="n"/>
      <c r="AG179" s="38" t="n"/>
    </row>
    <row r="180" ht="92" customHeight="1">
      <c r="A180" s="58" t="n">
        <v>176</v>
      </c>
      <c r="B180" s="59" t="inlineStr">
        <is>
          <t>유비퀴논(CoQ10)</t>
        </is>
      </c>
      <c r="C180" s="34" t="inlineStr">
        <is>
          <t>Ubiquinone</t>
        </is>
      </c>
      <c r="D180" s="37" t="inlineStr">
        <is>
          <t>–</t>
        </is>
      </c>
      <c r="E180" s="60" t="inlineStr">
        <is>
          <t>항산화</t>
        </is>
      </c>
      <c r="F180" s="34" t="inlineStr">
        <is>
          <t>항산화</t>
        </is>
      </c>
      <c r="G180" s="34" t="inlineStr">
        <is>
          <t>발효</t>
        </is>
      </c>
      <c r="H180" s="34" t="inlineStr">
        <is>
          <t>효모/미생물 발효</t>
        </is>
      </c>
      <c r="I180" s="34" t="inlineStr">
        <is>
          <t>발효 → 추출 → 결정</t>
        </is>
      </c>
      <c r="J180" s="34" t="inlineStr">
        <is>
          <t>퀴논</t>
        </is>
      </c>
      <c r="K180" s="34" t="inlineStr">
        <is>
          <t>분말(지용) / 수용화 원료</t>
        </is>
      </c>
      <c r="L180" s="34" t="inlineStr">
        <is>
          <t>진노랑~주황</t>
        </is>
      </c>
      <c r="M180" s="34" t="inlineStr">
        <is>
          <t>무취</t>
        </is>
      </c>
      <c r="N180" s="34" t="inlineStr">
        <is>
          <t>유용성(수용화 제형 별도)</t>
        </is>
      </c>
      <c r="O180" s="34" t="inlineStr">
        <is>
          <t>B상 or 냉각상</t>
        </is>
      </c>
      <c r="P180" s="34" t="inlineStr">
        <is>
          <t>무감</t>
        </is>
      </c>
      <c r="Q180" s="34" t="inlineStr">
        <is>
          <t>—</t>
        </is>
      </c>
      <c r="R180" s="34" t="inlineStr">
        <is>
          <t>—</t>
        </is>
      </c>
      <c r="S180" s="34" t="inlineStr">
        <is>
          <t>0.05~0.3%</t>
        </is>
      </c>
      <c r="T180" s="34" t="inlineStr">
        <is>
          <t>빛에 약함</t>
        </is>
      </c>
      <c r="U180" s="34" t="inlineStr">
        <is>
          <t>제품이 노랗게 착색</t>
        </is>
      </c>
      <c r="V180" s="34" t="inlineStr">
        <is>
          <t>₩30,000/20g</t>
        </is>
      </c>
      <c r="W180" s="37" t="inlineStr">
        <is>
          <t>★★★☆☆</t>
        </is>
      </c>
      <c r="X180" s="34" t="inlineStr">
        <is>
          <t>차광</t>
        </is>
      </c>
      <c r="Y180" s="34" t="inlineStr">
        <is>
          <t>제한 없음</t>
        </is>
      </c>
      <c r="Z180" s="34" t="inlineStr">
        <is>
          <t>—</t>
        </is>
      </c>
      <c r="AA180" s="34" t="inlineStr">
        <is>
          <t>이데베논·토코페롤</t>
        </is>
      </c>
      <c r="AB180" s="34" t="inlineStr">
        <is>
          <t>허브누리 '코엔자임Q10 수용성/지용성' 두 형태</t>
        </is>
      </c>
      <c r="AC180" s="34" t="inlineStr">
        <is>
          <t>—</t>
        </is>
      </c>
      <c r="AD180" s="34" t="inlineStr">
        <is>
          <t>도감 기능성</t>
        </is>
      </c>
      <c r="AE180" s="38" t="n"/>
      <c r="AF180" s="39" t="n"/>
      <c r="AG180" s="38" t="n"/>
    </row>
    <row r="181" ht="92" customHeight="1">
      <c r="A181" s="58" t="n">
        <v>177</v>
      </c>
      <c r="B181" s="59" t="inlineStr">
        <is>
          <t>이데베논</t>
        </is>
      </c>
      <c r="C181" s="34" t="inlineStr">
        <is>
          <t>Hydroxydecyl Ubiquinone</t>
        </is>
      </c>
      <c r="D181" s="37" t="inlineStr">
        <is>
          <t>–</t>
        </is>
      </c>
      <c r="E181" s="60" t="inlineStr">
        <is>
          <t>항산화</t>
        </is>
      </c>
      <c r="F181" s="34" t="inlineStr">
        <is>
          <t>강한 항산화</t>
        </is>
      </c>
      <c r="G181" s="34" t="inlineStr">
        <is>
          <t>합성</t>
        </is>
      </c>
      <c r="H181" s="34" t="inlineStr">
        <is>
          <t>합성 (CoQ10 유사 구조)</t>
        </is>
      </c>
      <c r="I181" s="34" t="inlineStr">
        <is>
          <t>유기 합성</t>
        </is>
      </c>
      <c r="J181" s="34" t="inlineStr">
        <is>
          <t>퀴논 유도체</t>
        </is>
      </c>
      <c r="K181" s="34" t="inlineStr">
        <is>
          <t>분말</t>
        </is>
      </c>
      <c r="L181" s="34" t="inlineStr">
        <is>
          <t>주황~노랑</t>
        </is>
      </c>
      <c r="M181" s="34" t="inlineStr">
        <is>
          <t>무취</t>
        </is>
      </c>
      <c r="N181" s="34" t="inlineStr">
        <is>
          <t>유용성</t>
        </is>
      </c>
      <c r="O181" s="34" t="inlineStr">
        <is>
          <t>B상 or 냉각상(용제)</t>
        </is>
      </c>
      <c r="P181" s="34" t="inlineStr">
        <is>
          <t>무감</t>
        </is>
      </c>
      <c r="Q181" s="34" t="inlineStr">
        <is>
          <t>—</t>
        </is>
      </c>
      <c r="R181" s="34" t="inlineStr">
        <is>
          <t>—</t>
        </is>
      </c>
      <c r="S181" s="34" t="inlineStr">
        <is>
          <t>0.5~1%</t>
        </is>
      </c>
      <c r="T181" s="34" t="inlineStr">
        <is>
          <t>빛에 약함</t>
        </is>
      </c>
      <c r="U181" s="34" t="inlineStr">
        <is>
          <t>착색(노랑)·고%면 자극 보고</t>
        </is>
      </c>
      <c r="V181" s="34" t="inlineStr">
        <is>
          <t>₩40,000/10g</t>
        </is>
      </c>
      <c r="W181" s="37" t="inlineStr">
        <is>
          <t>★★☆☆☆</t>
        </is>
      </c>
      <c r="X181" s="34" t="inlineStr">
        <is>
          <t>차광</t>
        </is>
      </c>
      <c r="Y181" s="34" t="inlineStr">
        <is>
          <t>제한 없음</t>
        </is>
      </c>
      <c r="Z181" s="34" t="inlineStr">
        <is>
          <t>—</t>
        </is>
      </c>
      <c r="AA181" s="34" t="inlineStr">
        <is>
          <t>유비퀴논·토코페롤</t>
        </is>
      </c>
      <c r="AB181" s="34" t="inlineStr">
        <is>
          <t>CoQ10보다 강한 항산화 소구</t>
        </is>
      </c>
      <c r="AC181" s="34" t="inlineStr">
        <is>
          <t>—</t>
        </is>
      </c>
      <c r="AD181" s="34" t="inlineStr">
        <is>
          <t>허브누리</t>
        </is>
      </c>
      <c r="AE181" s="38" t="n"/>
      <c r="AF181" s="39" t="n"/>
      <c r="AG181" s="38" t="n"/>
    </row>
    <row r="182" ht="92" customHeight="1">
      <c r="A182" s="61" t="n">
        <v>178</v>
      </c>
      <c r="B182" s="62" t="inlineStr">
        <is>
          <t>페녹시에탄올</t>
        </is>
      </c>
      <c r="C182" s="34" t="inlineStr">
        <is>
          <t>Phenoxyethanol</t>
        </is>
      </c>
      <c r="D182" s="35" t="inlineStr">
        <is>
          <t>✓</t>
        </is>
      </c>
      <c r="E182" s="63" t="inlineStr">
        <is>
          <t>방부</t>
        </is>
      </c>
      <c r="F182" s="34" t="inlineStr">
        <is>
          <t>광범위 항균(세균 강·곰팡이 약)</t>
        </is>
      </c>
      <c r="G182" s="34" t="inlineStr">
        <is>
          <t>합성</t>
        </is>
      </c>
      <c r="H182" s="34" t="inlineStr">
        <is>
          <t>페놀 + 에틸렌옥사이드</t>
        </is>
      </c>
      <c r="I182" s="34" t="inlineStr">
        <is>
          <t>합성 → 증류</t>
        </is>
      </c>
      <c r="J182" s="34" t="inlineStr">
        <is>
          <t>글리콜 에테르</t>
        </is>
      </c>
      <c r="K182" s="34" t="inlineStr">
        <is>
          <t>액상</t>
        </is>
      </c>
      <c r="L182" s="34" t="inlineStr">
        <is>
          <t>무색</t>
        </is>
      </c>
      <c r="M182" s="34" t="inlineStr">
        <is>
          <t>희미한 장미향</t>
        </is>
      </c>
      <c r="N182" s="34" t="inlineStr">
        <is>
          <t>물 ~2.6%, 유상 일부</t>
        </is>
      </c>
      <c r="O182" s="34" t="inlineStr">
        <is>
          <t>냉각상(&lt;45℃)</t>
        </is>
      </c>
      <c r="P182" s="34" t="inlineStr">
        <is>
          <t>무감</t>
        </is>
      </c>
      <c r="Q182" s="34" t="inlineStr">
        <is>
          <t>—</t>
        </is>
      </c>
      <c r="R182" s="34" t="inlineStr">
        <is>
          <t>—</t>
        </is>
      </c>
      <c r="S182" s="34" t="inlineStr">
        <is>
          <t>0.5~1%</t>
        </is>
      </c>
      <c r="T182" s="34" t="inlineStr">
        <is>
          <t>pH 3~10 안정</t>
        </is>
      </c>
      <c r="U182" s="34" t="inlineStr">
        <is>
          <t>곰팡이 약함 → 에틸헥실글리세린·헥산디올 병용</t>
        </is>
      </c>
      <c r="V182" s="34" t="inlineStr">
        <is>
          <t>₩5,000~8,000/100g</t>
        </is>
      </c>
      <c r="W182" s="37" t="inlineStr">
        <is>
          <t>★★★★★</t>
        </is>
      </c>
      <c r="X182" s="34" t="inlineStr">
        <is>
          <t>밀봉</t>
        </is>
      </c>
      <c r="Y182" s="34" t="inlineStr">
        <is>
          <t>★ 보존제 1.0%</t>
        </is>
      </c>
      <c r="Z182" s="34" t="inlineStr">
        <is>
          <t>★ 보존제 한도 빈출(페녹시 1%)</t>
        </is>
      </c>
      <c r="AA182" s="34" t="inlineStr">
        <is>
          <t>1,2-헥산다이올·소듐벤조에이트·벤질알코올</t>
        </is>
      </c>
      <c r="AB182" s="34" t="inlineStr">
        <is>
          <t>국내외 가장 범용, 수출에도 무난(EU·中 1%)</t>
        </is>
      </c>
      <c r="AC182" s="34" t="inlineStr">
        <is>
          <t>1% 계량 정확도 연습: 100g 배치 1.00g 전자저울 0.01 단위</t>
        </is>
      </c>
      <c r="AD182" s="34" t="inlineStr">
        <is>
          <t>기본</t>
        </is>
      </c>
      <c r="AE182" s="38" t="n"/>
      <c r="AF182" s="39" t="n"/>
      <c r="AG182" s="38" t="n"/>
    </row>
    <row r="183" ht="92" customHeight="1">
      <c r="A183" s="61" t="n">
        <v>179</v>
      </c>
      <c r="B183" s="62" t="inlineStr">
        <is>
          <t>1,2-헥산다이올</t>
        </is>
      </c>
      <c r="C183" s="34" t="inlineStr">
        <is>
          <t>1,2-Hexanediol</t>
        </is>
      </c>
      <c r="D183" s="35" t="inlineStr">
        <is>
          <t>✓</t>
        </is>
      </c>
      <c r="E183" s="63" t="inlineStr">
        <is>
          <t>방부</t>
        </is>
      </c>
      <c r="F183" s="34" t="inlineStr">
        <is>
          <t>보습·방부 부스터</t>
        </is>
      </c>
      <c r="G183" s="34" t="inlineStr">
        <is>
          <t>합성</t>
        </is>
      </c>
      <c r="H183" s="34" t="inlineStr">
        <is>
          <t>석유(헥센)</t>
        </is>
      </c>
      <c r="I183" s="34" t="inlineStr">
        <is>
          <t>헥센 산화 → 디올 정제</t>
        </is>
      </c>
      <c r="J183" s="34" t="inlineStr">
        <is>
          <t>1,2-알칸디올</t>
        </is>
      </c>
      <c r="K183" s="34" t="inlineStr">
        <is>
          <t>액상</t>
        </is>
      </c>
      <c r="L183" s="34" t="inlineStr">
        <is>
          <t>무색</t>
        </is>
      </c>
      <c r="M183" s="34" t="inlineStr">
        <is>
          <t>거의 무취</t>
        </is>
      </c>
      <c r="N183" s="34" t="inlineStr">
        <is>
          <t>수용성</t>
        </is>
      </c>
      <c r="O183" s="34" t="inlineStr">
        <is>
          <t>냉각상</t>
        </is>
      </c>
      <c r="P183" s="34" t="inlineStr">
        <is>
          <t>산뜻</t>
        </is>
      </c>
      <c r="Q183" s="34" t="inlineStr">
        <is>
          <t>—</t>
        </is>
      </c>
      <c r="R183" s="34" t="inlineStr">
        <is>
          <t>—</t>
        </is>
      </c>
      <c r="S183" s="34" t="inlineStr">
        <is>
          <t>1~2%(부스터) / 2~5%(단독 대체)</t>
        </is>
      </c>
      <c r="T183" s="34" t="inlineStr">
        <is>
          <t>안정</t>
        </is>
      </c>
      <c r="U183" s="34" t="inlineStr">
        <is>
          <t>고%(3%↑) 단독은 자극 보고·방부력 한계 → 페녹시와 병용 권장</t>
        </is>
      </c>
      <c r="V183" s="34" t="inlineStr">
        <is>
          <t>₩6,000~10,000/100g</t>
        </is>
      </c>
      <c r="W183" s="37" t="inlineStr">
        <is>
          <t>★★★★★</t>
        </is>
      </c>
      <c r="X183" s="34" t="inlineStr">
        <is>
          <t>밀봉</t>
        </is>
      </c>
      <c r="Y183" s="34" t="inlineStr">
        <is>
          <t>제한 없음 (보존제 목록 外 → '무방부제' 마케팅에 쓰임)</t>
        </is>
      </c>
      <c r="Z183" s="34" t="inlineStr">
        <is>
          <t>보존제 고시 목록에 없는 '방부 보조' 개념</t>
        </is>
      </c>
      <c r="AA183" s="34" t="inlineStr">
        <is>
          <t>펜틸렌글라이콜·카프릴릴글라이콜</t>
        </is>
      </c>
      <c r="AB183" s="34" t="inlineStr">
        <is>
          <t>보존제 수 줄이기용. '무방부제' 표현은 오인 광고 주의</t>
        </is>
      </c>
      <c r="AC183" s="34" t="inlineStr">
        <is>
          <t>—</t>
        </is>
      </c>
      <c r="AD183" s="34" t="inlineStr">
        <is>
          <t>기본</t>
        </is>
      </c>
      <c r="AE183" s="38" t="n"/>
      <c r="AF183" s="39" t="n"/>
      <c r="AG183" s="38" t="n"/>
    </row>
    <row r="184" ht="92" customHeight="1">
      <c r="A184" s="61" t="n">
        <v>180</v>
      </c>
      <c r="B184" s="62" t="inlineStr">
        <is>
          <t>에틸헥실글리세린</t>
        </is>
      </c>
      <c r="C184" s="34" t="inlineStr">
        <is>
          <t>Ethylhexylglycerin</t>
        </is>
      </c>
      <c r="D184" s="37" t="inlineStr">
        <is>
          <t>–</t>
        </is>
      </c>
      <c r="E184" s="63" t="inlineStr">
        <is>
          <t>방부</t>
        </is>
      </c>
      <c r="F184" s="34" t="inlineStr">
        <is>
          <t>방부 부스터·탈취</t>
        </is>
      </c>
      <c r="G184" s="34" t="inlineStr">
        <is>
          <t>합성</t>
        </is>
      </c>
      <c r="H184" s="34" t="inlineStr">
        <is>
          <t>글리세린 + 2-에틸헥산올</t>
        </is>
      </c>
      <c r="I184" s="34" t="inlineStr">
        <is>
          <t>에테르화</t>
        </is>
      </c>
      <c r="J184" s="34" t="inlineStr">
        <is>
          <t>글리세릴 에테르</t>
        </is>
      </c>
      <c r="K184" s="34" t="inlineStr">
        <is>
          <t>액상</t>
        </is>
      </c>
      <c r="L184" s="34" t="inlineStr">
        <is>
          <t>무색</t>
        </is>
      </c>
      <c r="M184" s="34" t="inlineStr">
        <is>
          <t>무취</t>
        </is>
      </c>
      <c r="N184" s="34" t="inlineStr">
        <is>
          <t>유용성(약간 수분산)</t>
        </is>
      </c>
      <c r="O184" s="34" t="inlineStr">
        <is>
          <t>냉각상</t>
        </is>
      </c>
      <c r="P184" s="34" t="inlineStr">
        <is>
          <t>무감</t>
        </is>
      </c>
      <c r="Q184" s="34" t="inlineStr">
        <is>
          <t>—</t>
        </is>
      </c>
      <c r="R184" s="34" t="inlineStr">
        <is>
          <t>—</t>
        </is>
      </c>
      <c r="S184" s="34" t="inlineStr">
        <is>
          <t>0.1~1%</t>
        </is>
      </c>
      <c r="T184" s="34" t="inlineStr">
        <is>
          <t>안정</t>
        </is>
      </c>
      <c r="U184" s="34" t="inlineStr">
        <is>
          <t>페녹시에탄올과 9:1 블렌드(Euxyl PE9010)가 표준</t>
        </is>
      </c>
      <c r="V184" s="34" t="inlineStr">
        <is>
          <t>₩10,000/50g</t>
        </is>
      </c>
      <c r="W184" s="37" t="inlineStr">
        <is>
          <t>★★★☆☆</t>
        </is>
      </c>
      <c r="X184" s="34" t="inlineStr">
        <is>
          <t>밀봉</t>
        </is>
      </c>
      <c r="Y184" s="34" t="inlineStr">
        <is>
          <t>제한 없음</t>
        </is>
      </c>
      <c r="Z184" s="34" t="inlineStr">
        <is>
          <t>—</t>
        </is>
      </c>
      <c r="AA184" s="34" t="inlineStr">
        <is>
          <t>카프릴릴글라이콜</t>
        </is>
      </c>
      <c r="AB184" s="34" t="inlineStr">
        <is>
          <t>페녹시 부스터 1순위</t>
        </is>
      </c>
      <c r="AC184" s="34" t="inlineStr">
        <is>
          <t>—</t>
        </is>
      </c>
      <c r="AD184" s="34" t="inlineStr">
        <is>
          <t>기본</t>
        </is>
      </c>
      <c r="AE184" s="38" t="n"/>
      <c r="AF184" s="39" t="n"/>
      <c r="AG184" s="38" t="n"/>
    </row>
    <row r="185" ht="92" customHeight="1">
      <c r="A185" s="61" t="n">
        <v>181</v>
      </c>
      <c r="B185" s="62" t="inlineStr">
        <is>
          <t>카프릴릴글라이콜</t>
        </is>
      </c>
      <c r="C185" s="34" t="inlineStr">
        <is>
          <t>Caprylyl Glycol</t>
        </is>
      </c>
      <c r="D185" s="37" t="inlineStr">
        <is>
          <t>–</t>
        </is>
      </c>
      <c r="E185" s="63" t="inlineStr">
        <is>
          <t>방부</t>
        </is>
      </c>
      <c r="F185" s="34" t="inlineStr">
        <is>
          <t>보습·방부 부스터</t>
        </is>
      </c>
      <c r="G185" s="34" t="inlineStr">
        <is>
          <t>합성</t>
        </is>
      </c>
      <c r="H185" s="34" t="inlineStr">
        <is>
          <t>옥텐(석유)/코코넛</t>
        </is>
      </c>
      <c r="I185" s="34" t="inlineStr">
        <is>
          <t>1,2-옥탄디올 합성</t>
        </is>
      </c>
      <c r="J185" s="34" t="inlineStr">
        <is>
          <t>1,2-알칸디올(C8)</t>
        </is>
      </c>
      <c r="K185" s="34" t="inlineStr">
        <is>
          <t>왁스성 고체/액(녹는점 ~36℃)</t>
        </is>
      </c>
      <c r="L185" s="34" t="inlineStr">
        <is>
          <t>무색~백색</t>
        </is>
      </c>
      <c r="M185" s="34" t="inlineStr">
        <is>
          <t>약한 특유취</t>
        </is>
      </c>
      <c r="N185" s="34" t="inlineStr">
        <is>
          <t>유용성 쪽</t>
        </is>
      </c>
      <c r="O185" s="34" t="inlineStr">
        <is>
          <t>냉각상, 따뜻할 때 녹여 투입</t>
        </is>
      </c>
      <c r="P185" s="34" t="inlineStr">
        <is>
          <t>무감</t>
        </is>
      </c>
      <c r="Q185" s="34" t="inlineStr">
        <is>
          <t>—</t>
        </is>
      </c>
      <c r="R185" s="34" t="inlineStr">
        <is>
          <t>—</t>
        </is>
      </c>
      <c r="S185" s="34" t="inlineStr">
        <is>
          <t>0.3~1%</t>
        </is>
      </c>
      <c r="T185" s="34" t="inlineStr">
        <is>
          <t>안정</t>
        </is>
      </c>
      <c r="U185" s="34" t="inlineStr">
        <is>
          <t>저온에서 굳어 계량 시 녹이기</t>
        </is>
      </c>
      <c r="V185" s="34" t="inlineStr">
        <is>
          <t>₩15,000/100g</t>
        </is>
      </c>
      <c r="W185" s="37" t="inlineStr">
        <is>
          <t>★★★☆☆</t>
        </is>
      </c>
      <c r="X185" s="34" t="inlineStr">
        <is>
          <t>밀봉</t>
        </is>
      </c>
      <c r="Y185" s="34" t="inlineStr">
        <is>
          <t>제한 없음</t>
        </is>
      </c>
      <c r="Z185" s="34" t="inlineStr">
        <is>
          <t>—</t>
        </is>
      </c>
      <c r="AA185" s="34" t="inlineStr">
        <is>
          <t>1,2-헥산다이올·에틸헥실글리세린</t>
        </is>
      </c>
      <c r="AB185" s="34" t="inlineStr">
        <is>
          <t>헥산디올보다 항균↑, 적은 %</t>
        </is>
      </c>
      <c r="AC185" s="34" t="inlineStr">
        <is>
          <t>—</t>
        </is>
      </c>
      <c r="AD185" s="34" t="inlineStr">
        <is>
          <t>기본</t>
        </is>
      </c>
      <c r="AE185" s="38" t="n"/>
      <c r="AF185" s="39" t="n"/>
      <c r="AG185" s="38" t="n"/>
    </row>
    <row r="186" ht="92" customHeight="1">
      <c r="A186" s="61" t="n">
        <v>182</v>
      </c>
      <c r="B186" s="62" t="inlineStr">
        <is>
          <t>소듐벤조에이트+포타슘소르베이트</t>
        </is>
      </c>
      <c r="C186" s="34" t="inlineStr">
        <is>
          <t>Sodium Benzoate / Potassium Sorbate</t>
        </is>
      </c>
      <c r="D186" s="37" t="inlineStr">
        <is>
          <t>–</t>
        </is>
      </c>
      <c r="E186" s="63" t="inlineStr">
        <is>
          <t>방부</t>
        </is>
      </c>
      <c r="F186" s="34" t="inlineStr">
        <is>
          <t>천연 인증 허용 보존제</t>
        </is>
      </c>
      <c r="G186" s="34" t="inlineStr">
        <is>
          <t>합성</t>
        </is>
      </c>
      <c r="H186" s="34" t="inlineStr">
        <is>
          <t>벤조산 / 소르브산(원래 마가목 열매)</t>
        </is>
      </c>
      <c r="I186" s="34" t="inlineStr">
        <is>
          <t>합성 → 나트륨/칼륨염</t>
        </is>
      </c>
      <c r="J186" s="34" t="inlineStr">
        <is>
          <t>유기산 염</t>
        </is>
      </c>
      <c r="K186" s="34" t="inlineStr">
        <is>
          <t>과립/분말</t>
        </is>
      </c>
      <c r="L186" s="34" t="inlineStr">
        <is>
          <t>백색</t>
        </is>
      </c>
      <c r="M186" s="34" t="inlineStr">
        <is>
          <t>무취</t>
        </is>
      </c>
      <c r="N186" s="34" t="inlineStr">
        <is>
          <t>수용성</t>
        </is>
      </c>
      <c r="O186" s="34" t="inlineStr">
        <is>
          <t>A상 or 냉각상</t>
        </is>
      </c>
      <c r="P186" s="34" t="inlineStr">
        <is>
          <t>무감</t>
        </is>
      </c>
      <c r="Q186" s="34" t="inlineStr">
        <is>
          <t>—</t>
        </is>
      </c>
      <c r="R186" s="34" t="inlineStr">
        <is>
          <t>—</t>
        </is>
      </c>
      <c r="S186" s="34" t="inlineStr">
        <is>
          <t>각 0.1~0.5%</t>
        </is>
      </c>
      <c r="T186" s="34" t="inlineStr">
        <is>
          <t>★ pH 5.5 이하에서만 효과(산형)</t>
        </is>
      </c>
      <c r="U186" s="34" t="inlineStr">
        <is>
          <t>pH 높은 제품엔 무용. 구연산으로 pH 맞추기</t>
        </is>
      </c>
      <c r="V186" s="34" t="inlineStr">
        <is>
          <t>₩5,000/100g</t>
        </is>
      </c>
      <c r="W186" s="37" t="inlineStr">
        <is>
          <t>★★★★☆</t>
        </is>
      </c>
      <c r="X186" s="34" t="inlineStr">
        <is>
          <t>방습</t>
        </is>
      </c>
      <c r="Y186" s="34" t="inlineStr">
        <is>
          <t>★ 보존제: 벤조익애씨드·염류 산으로서 0.5%(씻어내는 2.5%) / 소르빅애씨드·염류 0.6%</t>
        </is>
      </c>
      <c r="Z186" s="34" t="inlineStr">
        <is>
          <t>보존제 '산으로서' 환산</t>
        </is>
      </c>
      <c r="AA186" s="34" t="inlineStr">
        <is>
          <t>페녹시에탄올</t>
        </is>
      </c>
      <c r="AB186" s="34" t="inlineStr">
        <is>
          <t>에코서트 허용 → 천연 인증 노릴 때</t>
        </is>
      </c>
      <c r="AC186" s="34" t="inlineStr">
        <is>
          <t>pH 4.5 vs 6.5 개념: 해리/비해리 그림 그려보기</t>
        </is>
      </c>
      <c r="AD186" s="34" t="inlineStr">
        <is>
          <t>기본</t>
        </is>
      </c>
      <c r="AE186" s="38" t="n"/>
      <c r="AF186" s="39" t="n"/>
      <c r="AG186" s="38" t="n"/>
    </row>
    <row r="187" ht="92" customHeight="1">
      <c r="A187" s="61" t="n">
        <v>183</v>
      </c>
      <c r="B187" s="62" t="inlineStr">
        <is>
          <t>벤질알코올</t>
        </is>
      </c>
      <c r="C187" s="34" t="inlineStr">
        <is>
          <t>Benzyl Alcohol</t>
        </is>
      </c>
      <c r="D187" s="37" t="inlineStr">
        <is>
          <t>–</t>
        </is>
      </c>
      <c r="E187" s="63" t="inlineStr">
        <is>
          <t>방부</t>
        </is>
      </c>
      <c r="F187" s="34" t="inlineStr">
        <is>
          <t>보존·용제·향</t>
        </is>
      </c>
      <c r="G187" s="34" t="inlineStr">
        <is>
          <t>합성</t>
        </is>
      </c>
      <c r="H187" s="34" t="inlineStr">
        <is>
          <t>톨루엔 (자연에도 존재)</t>
        </is>
      </c>
      <c r="I187" s="34" t="inlineStr">
        <is>
          <t>합성 → 증류</t>
        </is>
      </c>
      <c r="J187" s="34" t="inlineStr">
        <is>
          <t>방향족 알코올</t>
        </is>
      </c>
      <c r="K187" s="34" t="inlineStr">
        <is>
          <t>액상</t>
        </is>
      </c>
      <c r="L187" s="34" t="inlineStr">
        <is>
          <t>무색</t>
        </is>
      </c>
      <c r="M187" s="34" t="inlineStr">
        <is>
          <t>약한 아몬드·꽃향</t>
        </is>
      </c>
      <c r="N187" s="34" t="inlineStr">
        <is>
          <t>물 ~4%</t>
        </is>
      </c>
      <c r="O187" s="34" t="inlineStr">
        <is>
          <t>냉각상</t>
        </is>
      </c>
      <c r="P187" s="34" t="inlineStr">
        <is>
          <t>무감</t>
        </is>
      </c>
      <c r="Q187" s="34" t="inlineStr">
        <is>
          <t>—</t>
        </is>
      </c>
      <c r="R187" s="34" t="inlineStr">
        <is>
          <t>—</t>
        </is>
      </c>
      <c r="S187" s="34" t="inlineStr">
        <is>
          <t>0.5~1%</t>
        </is>
      </c>
      <c r="T187" s="34" t="inlineStr">
        <is>
          <t>안정</t>
        </is>
      </c>
      <c r="U187" s="34" t="inlineStr">
        <is>
          <t>★ 착향제 알레르기 유발 25종에 포함 → 기준 초과 시 전성분 표시</t>
        </is>
      </c>
      <c r="V187" s="34" t="inlineStr">
        <is>
          <t>₩5,000/100g</t>
        </is>
      </c>
      <c r="W187" s="37" t="inlineStr">
        <is>
          <t>★★★☆☆</t>
        </is>
      </c>
      <c r="X187" s="34" t="inlineStr">
        <is>
          <t>밀봉</t>
        </is>
      </c>
      <c r="Y187" s="34" t="inlineStr">
        <is>
          <t>★ 보존제 1.0% / 착향제 알레르기 성분(사용 후 씻어내지 않는 제품 0.001% 초과 표시)</t>
        </is>
      </c>
      <c r="Z187" s="34" t="inlineStr">
        <is>
          <t>보존제 + 알레르기 성분 이중 등장</t>
        </is>
      </c>
      <c r="AA187" s="34" t="inlineStr">
        <is>
          <t>페녹시에탄올·디하이드로아세틱애씨드</t>
        </is>
      </c>
      <c r="AB187" s="34" t="inlineStr">
        <is>
          <t>에코 허용 보존제. 향·알레르기 표시 고려</t>
        </is>
      </c>
      <c r="AC187" s="34" t="inlineStr">
        <is>
          <t>—</t>
        </is>
      </c>
      <c r="AD187" s="34" t="inlineStr">
        <is>
          <t>기본</t>
        </is>
      </c>
      <c r="AE187" s="38" t="n"/>
      <c r="AF187" s="39" t="n"/>
      <c r="AG187" s="38" t="n"/>
    </row>
    <row r="188" ht="92" customHeight="1">
      <c r="A188" s="61" t="n">
        <v>184</v>
      </c>
      <c r="B188" s="62" t="inlineStr">
        <is>
          <t>류시덜(무 발효 여과물)</t>
        </is>
      </c>
      <c r="C188" s="34" t="inlineStr">
        <is>
          <t>Leuconostoc/Radish Root Ferment Filtrate</t>
        </is>
      </c>
      <c r="D188" s="37" t="inlineStr">
        <is>
          <t>–</t>
        </is>
      </c>
      <c r="E188" s="63" t="inlineStr">
        <is>
          <t>방부</t>
        </is>
      </c>
      <c r="F188" s="34" t="inlineStr">
        <is>
          <t>천연 방부 보조(박테리오신)</t>
        </is>
      </c>
      <c r="G188" s="34" t="inlineStr">
        <is>
          <t>발효</t>
        </is>
      </c>
      <c r="H188" s="34" t="inlineStr">
        <is>
          <t>무 뿌리</t>
        </is>
      </c>
      <c r="I188" s="34" t="inlineStr">
        <is>
          <t>Leuconostoc kimchii 발효 → 여과</t>
        </is>
      </c>
      <c r="J188" s="34" t="inlineStr">
        <is>
          <t>발효 펩타이드(박테리오신)</t>
        </is>
      </c>
      <c r="K188" s="34" t="inlineStr">
        <is>
          <t>액상</t>
        </is>
      </c>
      <c r="L188" s="34" t="inlineStr">
        <is>
          <t>무색~미황</t>
        </is>
      </c>
      <c r="M188" s="34" t="inlineStr">
        <is>
          <t>약한 발효취</t>
        </is>
      </c>
      <c r="N188" s="34" t="inlineStr">
        <is>
          <t>수용성</t>
        </is>
      </c>
      <c r="O188" s="34" t="inlineStr">
        <is>
          <t>냉각상</t>
        </is>
      </c>
      <c r="P188" s="34" t="inlineStr">
        <is>
          <t>무감</t>
        </is>
      </c>
      <c r="Q188" s="34" t="inlineStr">
        <is>
          <t>—</t>
        </is>
      </c>
      <c r="R188" s="34" t="inlineStr">
        <is>
          <t>—</t>
        </is>
      </c>
      <c r="S188" s="34" t="inlineStr">
        <is>
          <t>2~4%</t>
        </is>
      </c>
      <c r="T188" s="34" t="inlineStr">
        <is>
          <t>pH 3~6</t>
        </is>
      </c>
      <c r="U188" s="34" t="inlineStr">
        <is>
          <t>단독 방부력 약함 → 챌린지 테스트 필수</t>
        </is>
      </c>
      <c r="V188" s="34" t="inlineStr">
        <is>
          <t>₩20,000/100g</t>
        </is>
      </c>
      <c r="W188" s="37" t="inlineStr">
        <is>
          <t>★★☆☆☆</t>
        </is>
      </c>
      <c r="X188" s="34" t="inlineStr">
        <is>
          <t>서늘</t>
        </is>
      </c>
      <c r="Y188" s="34" t="inlineStr">
        <is>
          <t>보존제 고시 목록 外</t>
        </is>
      </c>
      <c r="Z188" s="34" t="inlineStr">
        <is>
          <t>'천연 방부'의 한계</t>
        </is>
      </c>
      <c r="AA188" s="34" t="inlineStr">
        <is>
          <t>1,2-헥산다이올·글리세릴카프릴레이트</t>
        </is>
      </c>
      <c r="AB188" s="34" t="inlineStr">
        <is>
          <t>천연 포지션. 방부력 검증 비용 감수</t>
        </is>
      </c>
      <c r="AC188" s="34" t="inlineStr">
        <is>
          <t>—</t>
        </is>
      </c>
      <c r="AD188" s="34" t="inlineStr">
        <is>
          <t>도감 기능성</t>
        </is>
      </c>
      <c r="AE188" s="38" t="n"/>
      <c r="AF188" s="39" t="n"/>
      <c r="AG188" s="38" t="n"/>
    </row>
    <row r="189" ht="92" customHeight="1">
      <c r="A189" s="61" t="n">
        <v>185</v>
      </c>
      <c r="B189" s="62" t="inlineStr">
        <is>
          <t>클로페네신</t>
        </is>
      </c>
      <c r="C189" s="34" t="inlineStr">
        <is>
          <t>Chlorphenesin</t>
        </is>
      </c>
      <c r="D189" s="37" t="inlineStr">
        <is>
          <t>–</t>
        </is>
      </c>
      <c r="E189" s="63" t="inlineStr">
        <is>
          <t>방부</t>
        </is>
      </c>
      <c r="F189" s="34" t="inlineStr">
        <is>
          <t>곰팡이 보강</t>
        </is>
      </c>
      <c r="G189" s="34" t="inlineStr">
        <is>
          <t>합성</t>
        </is>
      </c>
      <c r="H189" s="34" t="inlineStr">
        <is>
          <t>클로로페놀</t>
        </is>
      </c>
      <c r="I189" s="34" t="inlineStr">
        <is>
          <t>합성</t>
        </is>
      </c>
      <c r="J189" s="34" t="inlineStr">
        <is>
          <t>페닐 글리세릴 에테르</t>
        </is>
      </c>
      <c r="K189" s="34" t="inlineStr">
        <is>
          <t>분말</t>
        </is>
      </c>
      <c r="L189" s="34" t="inlineStr">
        <is>
          <t>백색</t>
        </is>
      </c>
      <c r="M189" s="34" t="inlineStr">
        <is>
          <t>무취</t>
        </is>
      </c>
      <c r="N189" s="34" t="inlineStr">
        <is>
          <t>물 ~0.6%</t>
        </is>
      </c>
      <c r="O189" s="34" t="inlineStr">
        <is>
          <t>가온 용해</t>
        </is>
      </c>
      <c r="P189" s="34" t="inlineStr">
        <is>
          <t>무감</t>
        </is>
      </c>
      <c r="Q189" s="34" t="inlineStr">
        <is>
          <t>—</t>
        </is>
      </c>
      <c r="R189" s="34" t="inlineStr">
        <is>
          <t>—</t>
        </is>
      </c>
      <c r="S189" s="34" t="inlineStr">
        <is>
          <t>0.1~0.3%</t>
        </is>
      </c>
      <c r="T189" s="34" t="inlineStr">
        <is>
          <t>안정</t>
        </is>
      </c>
      <c r="U189" s="34" t="inlineStr">
        <is>
          <t>페녹시와 병용 흔함</t>
        </is>
      </c>
      <c r="V189" s="34" t="inlineStr">
        <is>
          <t>₩10,000/50g</t>
        </is>
      </c>
      <c r="W189" s="37" t="inlineStr">
        <is>
          <t>★★☆☆☆</t>
        </is>
      </c>
      <c r="X189" s="34" t="inlineStr">
        <is>
          <t>방습</t>
        </is>
      </c>
      <c r="Y189" s="34" t="inlineStr">
        <is>
          <t>★ 보존제 0.3%</t>
        </is>
      </c>
      <c r="Z189" s="34" t="inlineStr">
        <is>
          <t>보존제 한도 목록</t>
        </is>
      </c>
      <c r="AA189" s="34" t="inlineStr">
        <is>
          <t>페녹시에탄올·소듐벤조에이트</t>
        </is>
      </c>
      <c r="AB189" s="34" t="inlineStr">
        <is>
          <t>곰팡이 약점 보완</t>
        </is>
      </c>
      <c r="AC189" s="34" t="inlineStr">
        <is>
          <t>—</t>
        </is>
      </c>
      <c r="AD189" s="34" t="inlineStr">
        <is>
          <t>도감 기능성</t>
        </is>
      </c>
      <c r="AE189" s="38" t="n"/>
      <c r="AF189" s="39" t="n"/>
      <c r="AG189" s="38" t="n"/>
    </row>
    <row r="190" ht="92" customHeight="1">
      <c r="A190" s="61" t="n">
        <v>186</v>
      </c>
      <c r="B190" s="62" t="inlineStr">
        <is>
          <t>소르비탄카프릴레이트</t>
        </is>
      </c>
      <c r="C190" s="34" t="inlineStr">
        <is>
          <t>Sorbitan Caprylate</t>
        </is>
      </c>
      <c r="D190" s="37" t="inlineStr">
        <is>
          <t>–</t>
        </is>
      </c>
      <c r="E190" s="63" t="inlineStr">
        <is>
          <t>방부</t>
        </is>
      </c>
      <c r="F190" s="34" t="inlineStr">
        <is>
          <t>곰팡이 부스터·보조 유화</t>
        </is>
      </c>
      <c r="G190" s="34" t="inlineStr">
        <is>
          <t>식물</t>
        </is>
      </c>
      <c r="H190" s="34" t="inlineStr">
        <is>
          <t>소르비톨 + 카프릴산(코코넛)</t>
        </is>
      </c>
      <c r="I190" s="34" t="inlineStr">
        <is>
          <t>에스터화</t>
        </is>
      </c>
      <c r="J190" s="34" t="inlineStr">
        <is>
          <t>소르비탄 에스터</t>
        </is>
      </c>
      <c r="K190" s="34" t="inlineStr">
        <is>
          <t>점성 액</t>
        </is>
      </c>
      <c r="L190" s="34" t="inlineStr">
        <is>
          <t>미황</t>
        </is>
      </c>
      <c r="M190" s="34" t="inlineStr">
        <is>
          <t>약한 냄새</t>
        </is>
      </c>
      <c r="N190" s="34" t="inlineStr">
        <is>
          <t>유용성(수분산)</t>
        </is>
      </c>
      <c r="O190" s="34" t="inlineStr">
        <is>
          <t>냉각상</t>
        </is>
      </c>
      <c r="P190" s="34" t="inlineStr">
        <is>
          <t>무감</t>
        </is>
      </c>
      <c r="Q190" s="34" t="inlineStr">
        <is>
          <t>—</t>
        </is>
      </c>
      <c r="R190" s="34" t="inlineStr">
        <is>
          <t>—</t>
        </is>
      </c>
      <c r="S190" s="34" t="inlineStr">
        <is>
          <t>0.5~1%</t>
        </is>
      </c>
      <c r="T190" s="34" t="inlineStr">
        <is>
          <t>pH 4~7</t>
        </is>
      </c>
      <c r="U190" s="34" t="inlineStr">
        <is>
          <t>헥산디올/글리세릴카프릴레이트와 '보존제 무첨가' 시스템</t>
        </is>
      </c>
      <c r="V190" s="34" t="inlineStr">
        <is>
          <t>₩20,000/100g</t>
        </is>
      </c>
      <c r="W190" s="37" t="inlineStr">
        <is>
          <t>★★☆☆☆</t>
        </is>
      </c>
      <c r="X190" s="34" t="inlineStr">
        <is>
          <t>서늘</t>
        </is>
      </c>
      <c r="Y190" s="34" t="inlineStr">
        <is>
          <t>제한 없음</t>
        </is>
      </c>
      <c r="Z190" s="34" t="inlineStr">
        <is>
          <t>—</t>
        </is>
      </c>
      <c r="AA190" s="34" t="inlineStr">
        <is>
          <t>글리세릴카프릴레이트</t>
        </is>
      </c>
      <c r="AB190" s="34" t="inlineStr">
        <is>
          <t>보존제 목록 外 방부 부스터</t>
        </is>
      </c>
      <c r="AC190" s="34" t="inlineStr">
        <is>
          <t>—</t>
        </is>
      </c>
      <c r="AD190" s="34" t="inlineStr">
        <is>
          <t>도감 기능성</t>
        </is>
      </c>
      <c r="AE190" s="38" t="n"/>
      <c r="AF190" s="39" t="n"/>
      <c r="AG190" s="38" t="n"/>
    </row>
    <row r="191" ht="92" customHeight="1">
      <c r="A191" s="61" t="n">
        <v>187</v>
      </c>
      <c r="B191" s="62" t="inlineStr">
        <is>
          <t>글리세릴카프릴레이트</t>
        </is>
      </c>
      <c r="C191" s="34" t="inlineStr">
        <is>
          <t>Glyceryl Caprylate</t>
        </is>
      </c>
      <c r="D191" s="37" t="inlineStr">
        <is>
          <t>–</t>
        </is>
      </c>
      <c r="E191" s="63" t="inlineStr">
        <is>
          <t>방부</t>
        </is>
      </c>
      <c r="F191" s="34" t="inlineStr">
        <is>
          <t>항균 부스터·보조 유화</t>
        </is>
      </c>
      <c r="G191" s="34" t="inlineStr">
        <is>
          <t>식물</t>
        </is>
      </c>
      <c r="H191" s="34" t="inlineStr">
        <is>
          <t>글리세린 + 카프릴산</t>
        </is>
      </c>
      <c r="I191" s="34" t="inlineStr">
        <is>
          <t>에스터화</t>
        </is>
      </c>
      <c r="J191" s="34" t="inlineStr">
        <is>
          <t>모노글리세라이드(C8)</t>
        </is>
      </c>
      <c r="K191" s="34" t="inlineStr">
        <is>
          <t>반고체/액</t>
        </is>
      </c>
      <c r="L191" s="34" t="inlineStr">
        <is>
          <t>미황</t>
        </is>
      </c>
      <c r="M191" s="34" t="inlineStr">
        <is>
          <t>약한 지방취</t>
        </is>
      </c>
      <c r="N191" s="34" t="inlineStr">
        <is>
          <t>유용성</t>
        </is>
      </c>
      <c r="O191" s="34" t="inlineStr">
        <is>
          <t>냉각상(가온 녹임)</t>
        </is>
      </c>
      <c r="P191" s="34" t="inlineStr">
        <is>
          <t>약간 촉촉</t>
        </is>
      </c>
      <c r="Q191" s="34" t="inlineStr">
        <is>
          <t>—</t>
        </is>
      </c>
      <c r="R191" s="34" t="inlineStr">
        <is>
          <t>—</t>
        </is>
      </c>
      <c r="S191" s="34" t="inlineStr">
        <is>
          <t>0.3~1%</t>
        </is>
      </c>
      <c r="T191" s="34" t="inlineStr">
        <is>
          <t>pH 4~7</t>
        </is>
      </c>
      <c r="U191" s="34" t="inlineStr">
        <is>
          <t>에코서트 허용. 고%면 유화 불안정</t>
        </is>
      </c>
      <c r="V191" s="34" t="inlineStr">
        <is>
          <t>₩20,000/100g</t>
        </is>
      </c>
      <c r="W191" s="37" t="inlineStr">
        <is>
          <t>★★☆☆☆</t>
        </is>
      </c>
      <c r="X191" s="34" t="inlineStr">
        <is>
          <t>서늘</t>
        </is>
      </c>
      <c r="Y191" s="34" t="inlineStr">
        <is>
          <t>제한 없음</t>
        </is>
      </c>
      <c r="Z191" s="34" t="inlineStr">
        <is>
          <t>—</t>
        </is>
      </c>
      <c r="AA191" s="34" t="inlineStr">
        <is>
          <t>카프릴릴글라이콜·소르비탄카프릴레이트</t>
        </is>
      </c>
      <c r="AB191" s="34" t="inlineStr">
        <is>
          <t>천연 인증 방부 시스템</t>
        </is>
      </c>
      <c r="AC191" s="34" t="inlineStr">
        <is>
          <t>—</t>
        </is>
      </c>
      <c r="AD191" s="34" t="inlineStr">
        <is>
          <t>도감 기능성</t>
        </is>
      </c>
      <c r="AE191" s="38" t="n"/>
      <c r="AF191" s="39" t="n"/>
      <c r="AG191" s="38" t="n"/>
    </row>
    <row r="192" ht="92" customHeight="1">
      <c r="A192" s="61" t="n">
        <v>188</v>
      </c>
      <c r="B192" s="62" t="inlineStr">
        <is>
          <t>천연(한방) 보존제 블렌드</t>
        </is>
      </c>
      <c r="C192" s="34" t="inlineStr">
        <is>
          <t>제품마다 다름 — 전성분 확인 필수</t>
        </is>
      </c>
      <c r="D192" s="37" t="inlineStr">
        <is>
          <t>–</t>
        </is>
      </c>
      <c r="E192" s="63" t="inlineStr">
        <is>
          <t>방부</t>
        </is>
      </c>
      <c r="F192" s="34" t="inlineStr">
        <is>
          <t>'천연 보존' 소구</t>
        </is>
      </c>
      <c r="G192" s="34" t="inlineStr">
        <is>
          <t>식물+합성</t>
        </is>
      </c>
      <c r="H192" s="34" t="inlineStr">
        <is>
          <t>한방 추출물 + 글라이콜류(추정)</t>
        </is>
      </c>
      <c r="I192" s="34" t="inlineStr">
        <is>
          <t>추출물 + 부스터 블렌딩</t>
        </is>
      </c>
      <c r="J192" s="34" t="inlineStr">
        <is>
          <t>블렌드</t>
        </is>
      </c>
      <c r="K192" s="34" t="inlineStr">
        <is>
          <t>액상</t>
        </is>
      </c>
      <c r="L192" s="34" t="inlineStr">
        <is>
          <t>무색~갈색</t>
        </is>
      </c>
      <c r="M192" s="34" t="inlineStr">
        <is>
          <t>약한 한방취</t>
        </is>
      </c>
      <c r="N192" s="34" t="inlineStr">
        <is>
          <t>수용성</t>
        </is>
      </c>
      <c r="O192" s="34" t="inlineStr">
        <is>
          <t>냉각상</t>
        </is>
      </c>
      <c r="P192" s="34" t="inlineStr">
        <is>
          <t>무감</t>
        </is>
      </c>
      <c r="Q192" s="34" t="inlineStr">
        <is>
          <t>—</t>
        </is>
      </c>
      <c r="R192" s="34" t="inlineStr">
        <is>
          <t>—</t>
        </is>
      </c>
      <c r="S192" s="34" t="inlineStr">
        <is>
          <t>1~2%(제품 권장)</t>
        </is>
      </c>
      <c r="T192" s="34" t="inlineStr">
        <is>
          <t>—</t>
        </is>
      </c>
      <c r="U192" s="34" t="inlineStr">
        <is>
          <t>★ 허브누리 1위(175회). 실제 방부력은 대개 헥산디올·글라이콜 등 → 전성분 확인 + 챌린지 테스트</t>
        </is>
      </c>
      <c r="V192" s="34" t="inlineStr">
        <is>
          <t>₩10,000/100ml</t>
        </is>
      </c>
      <c r="W192" s="37" t="inlineStr">
        <is>
          <t>★★★★★</t>
        </is>
      </c>
      <c r="X192" s="34" t="inlineStr">
        <is>
          <t>서늘</t>
        </is>
      </c>
      <c r="Y192" s="34" t="inlineStr">
        <is>
          <t>보존제 고시 목록 확인(성분별)</t>
        </is>
      </c>
      <c r="Z192" s="34" t="inlineStr">
        <is>
          <t>'천연 보존제' 표현과 실제 성분</t>
        </is>
      </c>
      <c r="AA192" s="34" t="inlineStr">
        <is>
          <t>1,2-헥산다이올·페녹시에탄올</t>
        </is>
      </c>
      <c r="AB192" s="34" t="inlineStr">
        <is>
          <t>판매 제품엔 방부력 검증된 시스템 권장</t>
        </is>
      </c>
      <c r="AC192" s="34" t="inlineStr">
        <is>
          <t>내 보존제 전성분 받아 각 성분 역할 적어보기</t>
        </is>
      </c>
      <c r="AD192" s="34" t="inlineStr">
        <is>
          <t>허브누리</t>
        </is>
      </c>
      <c r="AE192" s="38" t="n"/>
      <c r="AF192" s="39" t="n"/>
      <c r="AG192" s="38" t="n"/>
    </row>
    <row r="193" ht="92" customHeight="1">
      <c r="A193" s="64" t="n">
        <v>189</v>
      </c>
      <c r="B193" s="65" t="inlineStr">
        <is>
          <t>구연산</t>
        </is>
      </c>
      <c r="C193" s="34" t="inlineStr">
        <is>
          <t>Citric Acid</t>
        </is>
      </c>
      <c r="D193" s="35" t="inlineStr">
        <is>
          <t>✓</t>
        </is>
      </c>
      <c r="E193" s="66" t="inlineStr">
        <is>
          <t>pH조절</t>
        </is>
      </c>
      <c r="F193" s="34" t="inlineStr">
        <is>
          <t>pH↓·약한 킬레이트</t>
        </is>
      </c>
      <c r="G193" s="34" t="inlineStr">
        <is>
          <t>발효</t>
        </is>
      </c>
      <c r="H193" s="34" t="inlineStr">
        <is>
          <t>당밀·전분</t>
        </is>
      </c>
      <c r="I193" s="34" t="inlineStr">
        <is>
          <t>Aspergillus niger 발효 → 석회 침전 → 황산 처리 → 결정</t>
        </is>
      </c>
      <c r="J193" s="34" t="inlineStr">
        <is>
          <t>유기산(AHA계)</t>
        </is>
      </c>
      <c r="K193" s="34" t="inlineStr">
        <is>
          <t>결정(무수)</t>
        </is>
      </c>
      <c r="L193" s="34" t="inlineStr">
        <is>
          <t>백색</t>
        </is>
      </c>
      <c r="M193" s="34" t="inlineStr">
        <is>
          <t>무취(신맛)</t>
        </is>
      </c>
      <c r="N193" s="34" t="inlineStr">
        <is>
          <t>수용성</t>
        </is>
      </c>
      <c r="O193" s="34" t="inlineStr">
        <is>
          <t>10~20% 희석액으로 마지막에 한 방울씩</t>
        </is>
      </c>
      <c r="P193" s="34" t="inlineStr">
        <is>
          <t>—</t>
        </is>
      </c>
      <c r="Q193" s="34" t="inlineStr">
        <is>
          <t>—</t>
        </is>
      </c>
      <c r="R193" s="34" t="inlineStr">
        <is>
          <t>—</t>
        </is>
      </c>
      <c r="S193" s="34" t="inlineStr">
        <is>
          <t>0.01~0.3%</t>
        </is>
      </c>
      <c r="T193" s="34" t="inlineStr">
        <is>
          <t>—</t>
        </is>
      </c>
      <c r="U193" s="34" t="inlineStr">
        <is>
          <t>한 번에 많이 넣으면 pH 급락 → 반드시 희석액</t>
        </is>
      </c>
      <c r="V193" s="34" t="inlineStr">
        <is>
          <t>₩5,000/500g</t>
        </is>
      </c>
      <c r="W193" s="37" t="inlineStr">
        <is>
          <t>★★★★★</t>
        </is>
      </c>
      <c r="X193" s="34" t="inlineStr">
        <is>
          <t>방습</t>
        </is>
      </c>
      <c r="Y193" s="34" t="inlineStr">
        <is>
          <t>제한 없음</t>
        </is>
      </c>
      <c r="Z193" s="34" t="inlineStr">
        <is>
          <t>pH 조절제 / 화장품 안전기준 pH 3~9(영유아·크림 등)</t>
        </is>
      </c>
      <c r="AA193" s="34" t="inlineStr">
        <is>
          <t>젖산·소듐시트레이트(짝)</t>
        </is>
      </c>
      <c r="AB193" s="34" t="inlineStr">
        <is>
          <t>가장 싸고 쉬운 산</t>
        </is>
      </c>
      <c r="AC193" s="34" t="inlineStr">
        <is>
          <t>10% 구연산액 1방울 = 100g 젤 pH 얼마 떨어지나 기록</t>
        </is>
      </c>
      <c r="AD193" s="34" t="inlineStr">
        <is>
          <t>기본</t>
        </is>
      </c>
      <c r="AE193" s="38" t="n"/>
      <c r="AF193" s="39" t="n"/>
      <c r="AG193" s="38" t="n"/>
    </row>
    <row r="194" ht="92" customHeight="1">
      <c r="A194" s="64" t="n">
        <v>190</v>
      </c>
      <c r="B194" s="65" t="inlineStr">
        <is>
          <t>소듐시트레이트</t>
        </is>
      </c>
      <c r="C194" s="34" t="inlineStr">
        <is>
          <t>Sodium Citrate</t>
        </is>
      </c>
      <c r="D194" s="37" t="inlineStr">
        <is>
          <t>주문</t>
        </is>
      </c>
      <c r="E194" s="66" t="inlineStr">
        <is>
          <t>pH조절</t>
        </is>
      </c>
      <c r="F194" s="34" t="inlineStr">
        <is>
          <t>버퍼(pH 고정)</t>
        </is>
      </c>
      <c r="G194" s="34" t="inlineStr">
        <is>
          <t>발효+합성</t>
        </is>
      </c>
      <c r="H194" s="34" t="inlineStr">
        <is>
          <t>구연산</t>
        </is>
      </c>
      <c r="I194" s="34" t="inlineStr">
        <is>
          <t>구연산 + NaOH/탄산나트륨 중화 → 결정</t>
        </is>
      </c>
      <c r="J194" s="34" t="inlineStr">
        <is>
          <t>유기산 염</t>
        </is>
      </c>
      <c r="K194" s="34" t="inlineStr">
        <is>
          <t>결정</t>
        </is>
      </c>
      <c r="L194" s="34" t="inlineStr">
        <is>
          <t>백색</t>
        </is>
      </c>
      <c r="M194" s="34" t="inlineStr">
        <is>
          <t>무취(짠맛)</t>
        </is>
      </c>
      <c r="N194" s="34" t="inlineStr">
        <is>
          <t>수용성</t>
        </is>
      </c>
      <c r="O194" s="34" t="inlineStr">
        <is>
          <t>A상</t>
        </is>
      </c>
      <c r="P194" s="34" t="inlineStr">
        <is>
          <t>—</t>
        </is>
      </c>
      <c r="Q194" s="34" t="inlineStr">
        <is>
          <t>—</t>
        </is>
      </c>
      <c r="R194" s="34" t="inlineStr">
        <is>
          <t>—</t>
        </is>
      </c>
      <c r="S194" s="34" t="inlineStr">
        <is>
          <t>0.1~0.5%</t>
        </is>
      </c>
      <c r="T194" s="34" t="inlineStr">
        <is>
          <t>구연산과 함께 pH 4~6 버퍼</t>
        </is>
      </c>
      <c r="U194" s="34" t="inlineStr">
        <is>
          <t>전해질 → 카보머 점도 영향</t>
        </is>
      </c>
      <c r="V194" s="34" t="inlineStr">
        <is>
          <t>₩5,000/100g</t>
        </is>
      </c>
      <c r="W194" s="37" t="inlineStr">
        <is>
          <t>★★★★☆</t>
        </is>
      </c>
      <c r="X194" s="34" t="inlineStr">
        <is>
          <t>방습</t>
        </is>
      </c>
      <c r="Y194" s="34" t="inlineStr">
        <is>
          <t>제한 없음</t>
        </is>
      </c>
      <c r="Z194" s="34" t="inlineStr">
        <is>
          <t>버퍼 = 약산 + 그 짝염기</t>
        </is>
      </c>
      <c r="AA194" s="34" t="inlineStr">
        <is>
          <t>락틱애씨드/소듐락테이트</t>
        </is>
      </c>
      <c r="AB194" s="34" t="inlineStr">
        <is>
          <t>pH가 시간이 지나도 안 변하게</t>
        </is>
      </c>
      <c r="AC194" s="34" t="inlineStr">
        <is>
          <t>구연산:소듐시트레이트 비율 바꿔 pH 4.5/5.5 맞추기</t>
        </is>
      </c>
      <c r="AD194" s="34" t="inlineStr">
        <is>
          <t>기본</t>
        </is>
      </c>
      <c r="AE194" s="38" t="n"/>
      <c r="AF194" s="39" t="n"/>
      <c r="AG194" s="38" t="n"/>
    </row>
    <row r="195" ht="92" customHeight="1">
      <c r="A195" s="64" t="n">
        <v>191</v>
      </c>
      <c r="B195" s="65" t="inlineStr">
        <is>
          <t>트로메타민</t>
        </is>
      </c>
      <c r="C195" s="34" t="inlineStr">
        <is>
          <t>Tromethamine</t>
        </is>
      </c>
      <c r="D195" s="37" t="inlineStr">
        <is>
          <t>주문</t>
        </is>
      </c>
      <c r="E195" s="66" t="inlineStr">
        <is>
          <t>pH조절</t>
        </is>
      </c>
      <c r="F195" s="34" t="inlineStr">
        <is>
          <t>카보머 중화·pH↑</t>
        </is>
      </c>
      <c r="G195" s="34" t="inlineStr">
        <is>
          <t>합성</t>
        </is>
      </c>
      <c r="H195" s="34" t="inlineStr">
        <is>
          <t>니트로메탄 + 포름알데하이드</t>
        </is>
      </c>
      <c r="I195" s="34" t="inlineStr">
        <is>
          <t>합성 → 환원 → 결정</t>
        </is>
      </c>
      <c r="J195" s="34" t="inlineStr">
        <is>
          <t>아미노알코올(염기)</t>
        </is>
      </c>
      <c r="K195" s="34" t="inlineStr">
        <is>
          <t>결정 분말</t>
        </is>
      </c>
      <c r="L195" s="34" t="inlineStr">
        <is>
          <t>백색</t>
        </is>
      </c>
      <c r="M195" s="34" t="inlineStr">
        <is>
          <t>무취</t>
        </is>
      </c>
      <c r="N195" s="34" t="inlineStr">
        <is>
          <t>수용성</t>
        </is>
      </c>
      <c r="O195" s="34" t="inlineStr">
        <is>
          <t>A상, 10% 희석액</t>
        </is>
      </c>
      <c r="P195" s="34" t="inlineStr">
        <is>
          <t>—</t>
        </is>
      </c>
      <c r="Q195" s="34" t="inlineStr">
        <is>
          <t>—</t>
        </is>
      </c>
      <c r="R195" s="34" t="inlineStr">
        <is>
          <t>—</t>
        </is>
      </c>
      <c r="S195" s="34" t="inlineStr">
        <is>
          <t>0.1~0.5%</t>
        </is>
      </c>
      <c r="T195" s="34" t="inlineStr">
        <is>
          <t>—</t>
        </is>
      </c>
      <c r="U195" s="34" t="inlineStr">
        <is>
          <t>TEA 대체(니트로사민 우려↓). NaOH보다 다루기 쉬움</t>
        </is>
      </c>
      <c r="V195" s="34" t="inlineStr">
        <is>
          <t>₩10,000/100g</t>
        </is>
      </c>
      <c r="W195" s="37" t="inlineStr">
        <is>
          <t>★★★☆☆</t>
        </is>
      </c>
      <c r="X195" s="34" t="inlineStr">
        <is>
          <t>방습</t>
        </is>
      </c>
      <c r="Y195" s="34" t="inlineStr">
        <is>
          <t>제한 없음</t>
        </is>
      </c>
      <c r="Z195" s="34" t="inlineStr">
        <is>
          <t>중화제 개념</t>
        </is>
      </c>
      <c r="AA195" s="34" t="inlineStr">
        <is>
          <t>아르기닌·NaOH·TEA</t>
        </is>
      </c>
      <c r="AB195" s="34" t="inlineStr">
        <is>
          <t>카보머 중화의 안전·쉬운 선택</t>
        </is>
      </c>
      <c r="AC195" s="34" t="inlineStr">
        <is>
          <t>카보머 실험과 세트</t>
        </is>
      </c>
      <c r="AD195" s="34" t="inlineStr">
        <is>
          <t>기본</t>
        </is>
      </c>
      <c r="AE195" s="38" t="n"/>
      <c r="AF195" s="39" t="n"/>
      <c r="AG195" s="38" t="n"/>
    </row>
    <row r="196" ht="92" customHeight="1">
      <c r="A196" s="64" t="n">
        <v>192</v>
      </c>
      <c r="B196" s="65" t="inlineStr">
        <is>
          <t>아르기닌</t>
        </is>
      </c>
      <c r="C196" s="34" t="inlineStr">
        <is>
          <t>Arginine</t>
        </is>
      </c>
      <c r="D196" s="37" t="inlineStr">
        <is>
          <t>–</t>
        </is>
      </c>
      <c r="E196" s="66" t="inlineStr">
        <is>
          <t>pH조절</t>
        </is>
      </c>
      <c r="F196" s="34" t="inlineStr">
        <is>
          <t>천연 중화제·보습</t>
        </is>
      </c>
      <c r="G196" s="34" t="inlineStr">
        <is>
          <t>발효</t>
        </is>
      </c>
      <c r="H196" s="34" t="inlineStr">
        <is>
          <t>당 발효</t>
        </is>
      </c>
      <c r="I196" s="34" t="inlineStr">
        <is>
          <t>미생물 발효 → 정제</t>
        </is>
      </c>
      <c r="J196" s="34" t="inlineStr">
        <is>
          <t>염기성 아미노산</t>
        </is>
      </c>
      <c r="K196" s="34" t="inlineStr">
        <is>
          <t>분말</t>
        </is>
      </c>
      <c r="L196" s="34" t="inlineStr">
        <is>
          <t>백색</t>
        </is>
      </c>
      <c r="M196" s="34" t="inlineStr">
        <is>
          <t>무취</t>
        </is>
      </c>
      <c r="N196" s="34" t="inlineStr">
        <is>
          <t>수용성</t>
        </is>
      </c>
      <c r="O196" s="34" t="inlineStr">
        <is>
          <t>A상</t>
        </is>
      </c>
      <c r="P196" s="34" t="inlineStr">
        <is>
          <t>—</t>
        </is>
      </c>
      <c r="Q196" s="34" t="inlineStr">
        <is>
          <t>—</t>
        </is>
      </c>
      <c r="R196" s="34" t="inlineStr">
        <is>
          <t>—</t>
        </is>
      </c>
      <c r="S196" s="34" t="inlineStr">
        <is>
          <t>0.1~1%</t>
        </is>
      </c>
      <c r="T196" s="34" t="inlineStr">
        <is>
          <t>—</t>
        </is>
      </c>
      <c r="U196" s="34" t="inlineStr">
        <is>
          <t>카보머 중화의 '천연' 버전</t>
        </is>
      </c>
      <c r="V196" s="34" t="inlineStr">
        <is>
          <t>₩10,000/100g</t>
        </is>
      </c>
      <c r="W196" s="37" t="inlineStr">
        <is>
          <t>★★★☆☆</t>
        </is>
      </c>
      <c r="X196" s="34" t="inlineStr">
        <is>
          <t>방습</t>
        </is>
      </c>
      <c r="Y196" s="34" t="inlineStr">
        <is>
          <t>제한 없음</t>
        </is>
      </c>
      <c r="Z196" s="34" t="inlineStr">
        <is>
          <t>—</t>
        </is>
      </c>
      <c r="AA196" s="34" t="inlineStr">
        <is>
          <t>트로메타민</t>
        </is>
      </c>
      <c r="AB196" s="34" t="inlineStr">
        <is>
          <t>천연 포지션 중화</t>
        </is>
      </c>
      <c r="AC196" s="34" t="inlineStr">
        <is>
          <t>—</t>
        </is>
      </c>
      <c r="AD196" s="34" t="inlineStr">
        <is>
          <t>기본</t>
        </is>
      </c>
      <c r="AE196" s="38" t="n"/>
      <c r="AF196" s="39" t="n"/>
      <c r="AG196" s="38" t="n"/>
    </row>
    <row r="197" ht="92" customHeight="1">
      <c r="A197" s="64" t="n">
        <v>193</v>
      </c>
      <c r="B197" s="65" t="inlineStr">
        <is>
          <t>TEA / 수산화나트륨(NaOH)</t>
        </is>
      </c>
      <c r="C197" s="34" t="inlineStr">
        <is>
          <t>Triethanolamine / Sodium Hydroxide</t>
        </is>
      </c>
      <c r="D197" s="37" t="inlineStr">
        <is>
          <t>–</t>
        </is>
      </c>
      <c r="E197" s="66" t="inlineStr">
        <is>
          <t>pH조절</t>
        </is>
      </c>
      <c r="F197" s="34" t="inlineStr">
        <is>
          <t>카보머 중화·pH↑</t>
        </is>
      </c>
      <c r="G197" s="34" t="inlineStr">
        <is>
          <t>합성</t>
        </is>
      </c>
      <c r="H197" s="34" t="inlineStr">
        <is>
          <t>에틸렌옥사이드+암모니아 / 소금물 전기분해</t>
        </is>
      </c>
      <c r="I197" s="34" t="inlineStr">
        <is>
          <t>합성 / 전해</t>
        </is>
      </c>
      <c r="J197" s="34" t="inlineStr">
        <is>
          <t>아민 / 강염기</t>
        </is>
      </c>
      <c r="K197" s="34" t="inlineStr">
        <is>
          <t>액상 / 플레이크</t>
        </is>
      </c>
      <c r="L197" s="34" t="inlineStr">
        <is>
          <t>무색 / 백색</t>
        </is>
      </c>
      <c r="M197" s="34" t="inlineStr">
        <is>
          <t>암모니아취 / 무취</t>
        </is>
      </c>
      <c r="N197" s="34" t="inlineStr">
        <is>
          <t>수용성</t>
        </is>
      </c>
      <c r="O197" s="34" t="inlineStr">
        <is>
          <t>10~18% 희석액으로 한 방울씩</t>
        </is>
      </c>
      <c r="P197" s="34" t="inlineStr">
        <is>
          <t>—</t>
        </is>
      </c>
      <c r="Q197" s="34" t="inlineStr">
        <is>
          <t>—</t>
        </is>
      </c>
      <c r="R197" s="34" t="inlineStr">
        <is>
          <t>—</t>
        </is>
      </c>
      <c r="S197" s="34" t="inlineStr">
        <is>
          <t>0.1~0.5%</t>
        </is>
      </c>
      <c r="T197" s="34" t="inlineStr">
        <is>
          <t>—</t>
        </is>
      </c>
      <c r="U197" s="34" t="inlineStr">
        <is>
          <t>★ TEA: 니트로사민 생성 우려(아질산 원료와 금지). NaOH: 강알칼리 화상 → 보호구</t>
        </is>
      </c>
      <c r="V197" s="34" t="inlineStr">
        <is>
          <t>₩5,000/100g</t>
        </is>
      </c>
      <c r="W197" s="37" t="inlineStr">
        <is>
          <t>★★★☆☆</t>
        </is>
      </c>
      <c r="X197" s="34" t="inlineStr">
        <is>
          <t>밀봉</t>
        </is>
      </c>
      <c r="Y197" s="34" t="inlineStr">
        <is>
          <t>TEA: 아민류 니트로사민 관련 규정 확인</t>
        </is>
      </c>
      <c r="Z197" s="34" t="inlineStr">
        <is>
          <t>중화제 비교</t>
        </is>
      </c>
      <c r="AA197" s="34" t="inlineStr">
        <is>
          <t>트로메타민·아르기닌</t>
        </is>
      </c>
      <c r="AB197" s="34" t="inlineStr">
        <is>
          <t>1인 홈랩은 트로메타민이 안전</t>
        </is>
      </c>
      <c r="AC197" s="34" t="inlineStr">
        <is>
          <t>—</t>
        </is>
      </c>
      <c r="AD197" s="34" t="inlineStr">
        <is>
          <t>도감 기능성</t>
        </is>
      </c>
      <c r="AE197" s="38" t="n"/>
      <c r="AF197" s="39" t="n"/>
      <c r="AG197" s="38" t="n"/>
    </row>
    <row r="198" ht="92" customHeight="1">
      <c r="A198" s="64" t="n">
        <v>194</v>
      </c>
      <c r="B198" s="65" t="inlineStr">
        <is>
          <t>베이킹소다</t>
        </is>
      </c>
      <c r="C198" s="34" t="inlineStr">
        <is>
          <t>Sodium Bicarbonate</t>
        </is>
      </c>
      <c r="D198" s="37" t="inlineStr">
        <is>
          <t>–</t>
        </is>
      </c>
      <c r="E198" s="66" t="inlineStr">
        <is>
          <t>pH조절</t>
        </is>
      </c>
      <c r="F198" s="34" t="inlineStr">
        <is>
          <t>배스밤 발포·pH↑</t>
        </is>
      </c>
      <c r="G198" s="34" t="inlineStr">
        <is>
          <t>광물/합성</t>
        </is>
      </c>
      <c r="H198" s="34" t="inlineStr">
        <is>
          <t>소다회(솔베이법)</t>
        </is>
      </c>
      <c r="I198" s="34" t="inlineStr">
        <is>
          <t>탄산나트륨 + CO₂ → 결정</t>
        </is>
      </c>
      <c r="J198" s="34" t="inlineStr">
        <is>
          <t>탄산수소나트륨</t>
        </is>
      </c>
      <c r="K198" s="34" t="inlineStr">
        <is>
          <t>분말</t>
        </is>
      </c>
      <c r="L198" s="34" t="inlineStr">
        <is>
          <t>백색</t>
        </is>
      </c>
      <c r="M198" s="34" t="inlineStr">
        <is>
          <t>무취</t>
        </is>
      </c>
      <c r="N198" s="34" t="inlineStr">
        <is>
          <t>수용성</t>
        </is>
      </c>
      <c r="O198" s="34" t="inlineStr">
        <is>
          <t>—</t>
        </is>
      </c>
      <c r="P198" s="34" t="inlineStr">
        <is>
          <t>까끌</t>
        </is>
      </c>
      <c r="Q198" s="34" t="inlineStr">
        <is>
          <t>—</t>
        </is>
      </c>
      <c r="R198" s="34" t="inlineStr">
        <is>
          <t>—</t>
        </is>
      </c>
      <c r="S198" s="34" t="inlineStr">
        <is>
          <t>배스밤 40~60%</t>
        </is>
      </c>
      <c r="T198" s="34" t="inlineStr">
        <is>
          <t>pH ~8.3</t>
        </is>
      </c>
      <c r="U198" s="34" t="inlineStr">
        <is>
          <t>구연산과 반응 → CO₂(배스밤 원리). 습기 닿으면 미리 반응</t>
        </is>
      </c>
      <c r="V198" s="34" t="inlineStr">
        <is>
          <t>₩3,000/500g</t>
        </is>
      </c>
      <c r="W198" s="37" t="inlineStr">
        <is>
          <t>★★★★★</t>
        </is>
      </c>
      <c r="X198" s="34" t="inlineStr">
        <is>
          <t>방습</t>
        </is>
      </c>
      <c r="Y198" s="34" t="inlineStr">
        <is>
          <t>제한 없음</t>
        </is>
      </c>
      <c r="Z198" s="34" t="inlineStr">
        <is>
          <t>산-염기 반응</t>
        </is>
      </c>
      <c r="AA198" s="34" t="inlineStr">
        <is>
          <t>구연산</t>
        </is>
      </c>
      <c r="AB198" s="34" t="inlineStr">
        <is>
          <t>배스밤·발포 클렌저</t>
        </is>
      </c>
      <c r="AC198" s="34" t="inlineStr">
        <is>
          <t>베이킹소다 2 : 구연산 1에 물 한 방울 → 발포</t>
        </is>
      </c>
      <c r="AD198" s="34" t="inlineStr">
        <is>
          <t>허브누리</t>
        </is>
      </c>
      <c r="AE198" s="38" t="n"/>
      <c r="AF198" s="39" t="n"/>
      <c r="AG198" s="38" t="n"/>
    </row>
    <row r="199" ht="92" customHeight="1">
      <c r="A199" s="64" t="n">
        <v>195</v>
      </c>
      <c r="B199" s="65" t="inlineStr">
        <is>
          <t>디소듐이디티에이</t>
        </is>
      </c>
      <c r="C199" s="34" t="inlineStr">
        <is>
          <t>Disodium EDTA</t>
        </is>
      </c>
      <c r="D199" s="37" t="inlineStr">
        <is>
          <t>–</t>
        </is>
      </c>
      <c r="E199" s="66" t="inlineStr">
        <is>
          <t>킬레이트</t>
        </is>
      </c>
      <c r="F199" s="34" t="inlineStr">
        <is>
          <t>금속이온 봉쇄·방부/변색 보조</t>
        </is>
      </c>
      <c r="G199" s="34" t="inlineStr">
        <is>
          <t>합성</t>
        </is>
      </c>
      <c r="H199" s="34" t="inlineStr">
        <is>
          <t>에틸렌디아민 등</t>
        </is>
      </c>
      <c r="I199" s="34" t="inlineStr">
        <is>
          <t>합성 → 결정</t>
        </is>
      </c>
      <c r="J199" s="34" t="inlineStr">
        <is>
          <t>아미노폴리카복실산 염</t>
        </is>
      </c>
      <c r="K199" s="34" t="inlineStr">
        <is>
          <t>분말</t>
        </is>
      </c>
      <c r="L199" s="34" t="inlineStr">
        <is>
          <t>백색</t>
        </is>
      </c>
      <c r="M199" s="34" t="inlineStr">
        <is>
          <t>무취</t>
        </is>
      </c>
      <c r="N199" s="34" t="inlineStr">
        <is>
          <t>수용성</t>
        </is>
      </c>
      <c r="O199" s="34" t="inlineStr">
        <is>
          <t>A상</t>
        </is>
      </c>
      <c r="P199" s="34" t="inlineStr">
        <is>
          <t>—</t>
        </is>
      </c>
      <c r="Q199" s="34" t="inlineStr">
        <is>
          <t>—</t>
        </is>
      </c>
      <c r="R199" s="34" t="inlineStr">
        <is>
          <t>—</t>
        </is>
      </c>
      <c r="S199" s="34" t="inlineStr">
        <is>
          <t>0.05~0.1%</t>
        </is>
      </c>
      <c r="T199" s="34" t="inlineStr">
        <is>
          <t>—</t>
        </is>
      </c>
      <c r="U199" s="34" t="inlineStr">
        <is>
          <t>녹차·추출물 갈변↓, 방부력↑. 생분해성 낮음 → 친환경은 피테이트/GLDA</t>
        </is>
      </c>
      <c r="V199" s="34" t="inlineStr">
        <is>
          <t>₩5,000/100g</t>
        </is>
      </c>
      <c r="W199" s="37" t="inlineStr">
        <is>
          <t>★★★★☆</t>
        </is>
      </c>
      <c r="X199" s="34" t="inlineStr">
        <is>
          <t>방습</t>
        </is>
      </c>
      <c r="Y199" s="34" t="inlineStr">
        <is>
          <t>국내 제한 없음</t>
        </is>
      </c>
      <c r="Z199" s="34" t="inlineStr">
        <is>
          <t>킬레이트제 개념</t>
        </is>
      </c>
      <c r="AA199" s="34" t="inlineStr">
        <is>
          <t>소듐피테이트·GLDA·소듐글루코네이트</t>
        </is>
      </c>
      <c r="AB199" s="34" t="inlineStr">
        <is>
          <t>가장 효과적·저렴. 클린 포지션이면 대체</t>
        </is>
      </c>
      <c r="AC199" s="34" t="inlineStr">
        <is>
          <t>—</t>
        </is>
      </c>
      <c r="AD199" s="34" t="inlineStr">
        <is>
          <t>기본</t>
        </is>
      </c>
      <c r="AE199" s="38" t="n"/>
      <c r="AF199" s="39" t="n"/>
      <c r="AG199" s="38" t="n"/>
    </row>
    <row r="200" ht="92" customHeight="1">
      <c r="A200" s="64" t="n">
        <v>196</v>
      </c>
      <c r="B200" s="65" t="inlineStr">
        <is>
          <t>소듐피테이트</t>
        </is>
      </c>
      <c r="C200" s="34" t="inlineStr">
        <is>
          <t>Sodium Phytate</t>
        </is>
      </c>
      <c r="D200" s="37" t="inlineStr">
        <is>
          <t>–</t>
        </is>
      </c>
      <c r="E200" s="66" t="inlineStr">
        <is>
          <t>킬레이트</t>
        </is>
      </c>
      <c r="F200" s="34" t="inlineStr">
        <is>
          <t>천연 킬레이트</t>
        </is>
      </c>
      <c r="G200" s="34" t="inlineStr">
        <is>
          <t>식물</t>
        </is>
      </c>
      <c r="H200" s="34" t="inlineStr">
        <is>
          <t>쌀겨·옥수수</t>
        </is>
      </c>
      <c r="I200" s="34" t="inlineStr">
        <is>
          <t>피트산 추출 → 나트륨염(보통 액상)</t>
        </is>
      </c>
      <c r="J200" s="34" t="inlineStr">
        <is>
          <t>이노시톨 인산염</t>
        </is>
      </c>
      <c r="K200" s="34" t="inlineStr">
        <is>
          <t>액상(40~50%)/분말</t>
        </is>
      </c>
      <c r="L200" s="34" t="inlineStr">
        <is>
          <t>무색~미황</t>
        </is>
      </c>
      <c r="M200" s="34" t="inlineStr">
        <is>
          <t>무취</t>
        </is>
      </c>
      <c r="N200" s="34" t="inlineStr">
        <is>
          <t>수용성</t>
        </is>
      </c>
      <c r="O200" s="34" t="inlineStr">
        <is>
          <t>A상</t>
        </is>
      </c>
      <c r="P200" s="34" t="inlineStr">
        <is>
          <t>—</t>
        </is>
      </c>
      <c r="Q200" s="34" t="inlineStr">
        <is>
          <t>—</t>
        </is>
      </c>
      <c r="R200" s="34" t="inlineStr">
        <is>
          <t>—</t>
        </is>
      </c>
      <c r="S200" s="34" t="inlineStr">
        <is>
          <t>0.05~0.2%</t>
        </is>
      </c>
      <c r="T200" s="34" t="inlineStr">
        <is>
          <t>—</t>
        </is>
      </c>
      <c r="U200" s="34" t="inlineStr">
        <is>
          <t>EDTA 천연 대체</t>
        </is>
      </c>
      <c r="V200" s="34" t="inlineStr">
        <is>
          <t>₩15,000/100g</t>
        </is>
      </c>
      <c r="W200" s="37" t="inlineStr">
        <is>
          <t>★★☆☆☆</t>
        </is>
      </c>
      <c r="X200" s="34" t="inlineStr">
        <is>
          <t>밀봉</t>
        </is>
      </c>
      <c r="Y200" s="34" t="inlineStr">
        <is>
          <t>제한 없음</t>
        </is>
      </c>
      <c r="Z200" s="34" t="inlineStr">
        <is>
          <t>—</t>
        </is>
      </c>
      <c r="AA200" s="34" t="inlineStr">
        <is>
          <t>디소듐EDTA</t>
        </is>
      </c>
      <c r="AB200" s="34" t="inlineStr">
        <is>
          <t>클린·천연 포지션 킬레이트</t>
        </is>
      </c>
      <c r="AC200" s="34" t="inlineStr">
        <is>
          <t>—</t>
        </is>
      </c>
      <c r="AD200" s="34" t="inlineStr">
        <is>
          <t>기본</t>
        </is>
      </c>
      <c r="AE200" s="38" t="n"/>
      <c r="AF200" s="39" t="n"/>
      <c r="AG200" s="38" t="n"/>
    </row>
    <row r="201" ht="92" customHeight="1">
      <c r="A201" s="64" t="n">
        <v>197</v>
      </c>
      <c r="B201" s="65" t="inlineStr">
        <is>
          <t>GLDA</t>
        </is>
      </c>
      <c r="C201" s="34" t="inlineStr">
        <is>
          <t>Tetrasodium Glutamate Diacetate</t>
        </is>
      </c>
      <c r="D201" s="37" t="inlineStr">
        <is>
          <t>–</t>
        </is>
      </c>
      <c r="E201" s="66" t="inlineStr">
        <is>
          <t>킬레이트</t>
        </is>
      </c>
      <c r="F201" s="34" t="inlineStr">
        <is>
          <t>생분해 킬레이트</t>
        </is>
      </c>
      <c r="G201" s="34" t="inlineStr">
        <is>
          <t>식물+합성</t>
        </is>
      </c>
      <c r="H201" s="34" t="inlineStr">
        <is>
          <t>글루탐산(사탕수수 발효)</t>
        </is>
      </c>
      <c r="I201" s="34" t="inlineStr">
        <is>
          <t>카복시메틸화</t>
        </is>
      </c>
      <c r="J201" s="34" t="inlineStr">
        <is>
          <t>아미노산계 킬레이트</t>
        </is>
      </c>
      <c r="K201" s="34" t="inlineStr">
        <is>
          <t>액상(47%)</t>
        </is>
      </c>
      <c r="L201" s="34" t="inlineStr">
        <is>
          <t>무색~미황</t>
        </is>
      </c>
      <c r="M201" s="34" t="inlineStr">
        <is>
          <t>무취</t>
        </is>
      </c>
      <c r="N201" s="34" t="inlineStr">
        <is>
          <t>수용성</t>
        </is>
      </c>
      <c r="O201" s="34" t="inlineStr">
        <is>
          <t>A상</t>
        </is>
      </c>
      <c r="P201" s="34" t="inlineStr">
        <is>
          <t>—</t>
        </is>
      </c>
      <c r="Q201" s="34" t="inlineStr">
        <is>
          <t>—</t>
        </is>
      </c>
      <c r="R201" s="34" t="inlineStr">
        <is>
          <t>—</t>
        </is>
      </c>
      <c r="S201" s="34" t="inlineStr">
        <is>
          <t>0.1~0.2%</t>
        </is>
      </c>
      <c r="T201" s="34" t="inlineStr">
        <is>
          <t>pH 넓음</t>
        </is>
      </c>
      <c r="U201" s="34" t="inlineStr">
        <is>
          <t>EDTA 대체 친환경</t>
        </is>
      </c>
      <c r="V201" s="34" t="inlineStr">
        <is>
          <t>₩15,000/100g</t>
        </is>
      </c>
      <c r="W201" s="37" t="inlineStr">
        <is>
          <t>★★☆☆☆</t>
        </is>
      </c>
      <c r="X201" s="34" t="inlineStr">
        <is>
          <t>밀봉</t>
        </is>
      </c>
      <c r="Y201" s="34" t="inlineStr">
        <is>
          <t>제한 없음</t>
        </is>
      </c>
      <c r="Z201" s="34" t="inlineStr">
        <is>
          <t>—</t>
        </is>
      </c>
      <c r="AA201" s="34" t="inlineStr">
        <is>
          <t>디소듐EDTA·소듐피테이트</t>
        </is>
      </c>
      <c r="AB201" s="34" t="inlineStr">
        <is>
          <t>생분해·클린 포지션 킬레이트</t>
        </is>
      </c>
      <c r="AC201" s="34" t="inlineStr">
        <is>
          <t>—</t>
        </is>
      </c>
      <c r="AD201" s="34" t="inlineStr">
        <is>
          <t>도감 기능성</t>
        </is>
      </c>
      <c r="AE201" s="38" t="n"/>
      <c r="AF201" s="39" t="n"/>
      <c r="AG201" s="38" t="n"/>
    </row>
    <row r="202" ht="92" customHeight="1">
      <c r="A202" s="67" t="n">
        <v>198</v>
      </c>
      <c r="B202" s="68" t="inlineStr">
        <is>
          <t>폴리글리세릴-4 카프레이트</t>
        </is>
      </c>
      <c r="C202" s="34" t="inlineStr">
        <is>
          <t>Polyglyceryl-4 Caprate</t>
        </is>
      </c>
      <c r="D202" s="37" t="inlineStr">
        <is>
          <t>필요</t>
        </is>
      </c>
      <c r="E202" s="69" t="inlineStr">
        <is>
          <t>가용화</t>
        </is>
      </c>
      <c r="F202" s="34" t="inlineStr">
        <is>
          <t>향·소량 오일을 물에 투명하게</t>
        </is>
      </c>
      <c r="G202" s="34" t="inlineStr">
        <is>
          <t>식물</t>
        </is>
      </c>
      <c r="H202" s="34" t="inlineStr">
        <is>
          <t>폴리글리세린 + 카프르산(코코넛)</t>
        </is>
      </c>
      <c r="I202" s="34" t="inlineStr">
        <is>
          <t>글리세린 중합 → 에스터화</t>
        </is>
      </c>
      <c r="J202" s="34" t="inlineStr">
        <is>
          <t>비이온 PEG-free</t>
        </is>
      </c>
      <c r="K202" s="34" t="inlineStr">
        <is>
          <t>점성 액상</t>
        </is>
      </c>
      <c r="L202" s="34" t="inlineStr">
        <is>
          <t>연황</t>
        </is>
      </c>
      <c r="M202" s="34" t="inlineStr">
        <is>
          <t>약한 특유취</t>
        </is>
      </c>
      <c r="N202" s="34" t="inlineStr">
        <is>
          <t>수분산</t>
        </is>
      </c>
      <c r="O202" s="34" t="inlineStr">
        <is>
          <t>향/오일과 먼저 섞고 → 물에</t>
        </is>
      </c>
      <c r="P202" s="34" t="inlineStr">
        <is>
          <t>무감, 고%면 끈적</t>
        </is>
      </c>
      <c r="Q202" s="34" t="inlineStr">
        <is>
          <t>—</t>
        </is>
      </c>
      <c r="R202" s="34" t="inlineStr">
        <is>
          <t>약간 끈적</t>
        </is>
      </c>
      <c r="S202" s="34" t="inlineStr">
        <is>
          <t>향의 3~5배(1~5%)</t>
        </is>
      </c>
      <c r="T202" s="34" t="inlineStr">
        <is>
          <t>안정</t>
        </is>
      </c>
      <c r="U202" s="34" t="inlineStr">
        <is>
          <t>약간 탁해질 수 있음. 비율 테스트 필수</t>
        </is>
      </c>
      <c r="V202" s="34" t="inlineStr">
        <is>
          <t>₩15,000/100g</t>
        </is>
      </c>
      <c r="W202" s="37" t="inlineStr">
        <is>
          <t>★★★☆☆</t>
        </is>
      </c>
      <c r="X202" s="34" t="inlineStr">
        <is>
          <t>서늘</t>
        </is>
      </c>
      <c r="Y202" s="34" t="inlineStr">
        <is>
          <t>제한 없음</t>
        </is>
      </c>
      <c r="Z202" s="34" t="inlineStr">
        <is>
          <t>가용화 = 미셀로 투명하게</t>
        </is>
      </c>
      <c r="AA202" s="34" t="inlineStr">
        <is>
          <t>폴리소르베이트20·PEG-40 HCO</t>
        </is>
      </c>
      <c r="AB202" s="34" t="inlineStr">
        <is>
          <t>PEG-free 토너·미스트 향 가용화</t>
        </is>
      </c>
      <c r="AC202" s="34" t="inlineStr">
        <is>
          <t>향 0.1g + 가용화제 0.3/0.5g + 물 → 투명해지는 비율 찾기</t>
        </is>
      </c>
      <c r="AD202" s="34" t="inlineStr">
        <is>
          <t>기본</t>
        </is>
      </c>
      <c r="AE202" s="38" t="n"/>
      <c r="AF202" s="39" t="n"/>
      <c r="AG202" s="38" t="n"/>
    </row>
    <row r="203" ht="92" customHeight="1">
      <c r="A203" s="67" t="n">
        <v>199</v>
      </c>
      <c r="B203" s="68" t="inlineStr">
        <is>
          <t>폴리소르베이트20</t>
        </is>
      </c>
      <c r="C203" s="34" t="inlineStr">
        <is>
          <t>Polysorbate 20</t>
        </is>
      </c>
      <c r="D203" s="37" t="inlineStr">
        <is>
          <t>–</t>
        </is>
      </c>
      <c r="E203" s="69" t="inlineStr">
        <is>
          <t>가용화</t>
        </is>
      </c>
      <c r="F203" s="34" t="inlineStr">
        <is>
          <t>향 가용화·세정 보조</t>
        </is>
      </c>
      <c r="G203" s="34" t="inlineStr">
        <is>
          <t>식물+합성</t>
        </is>
      </c>
      <c r="H203" s="34" t="inlineStr">
        <is>
          <t>소르비톨 + 라우르산 + EO 20몰</t>
        </is>
      </c>
      <c r="I203" s="34" t="inlineStr">
        <is>
          <t>에스터화 + 에톡실화</t>
        </is>
      </c>
      <c r="J203" s="34" t="inlineStr">
        <is>
          <t>비이온 PEG계</t>
        </is>
      </c>
      <c r="K203" s="34" t="inlineStr">
        <is>
          <t>점성 액상</t>
        </is>
      </c>
      <c r="L203" s="34" t="inlineStr">
        <is>
          <t>황색</t>
        </is>
      </c>
      <c r="M203" s="34" t="inlineStr">
        <is>
          <t>특유 냄새</t>
        </is>
      </c>
      <c r="N203" s="34" t="inlineStr">
        <is>
          <t>수용성</t>
        </is>
      </c>
      <c r="O203" s="34" t="inlineStr">
        <is>
          <t>향과 먼저 혼합</t>
        </is>
      </c>
      <c r="P203" s="34" t="inlineStr">
        <is>
          <t>무감</t>
        </is>
      </c>
      <c r="Q203" s="34" t="inlineStr">
        <is>
          <t>—</t>
        </is>
      </c>
      <c r="R203" s="34" t="inlineStr">
        <is>
          <t>약간 끈적</t>
        </is>
      </c>
      <c r="S203" s="34" t="inlineStr">
        <is>
          <t>1~3%</t>
        </is>
      </c>
      <c r="T203" s="34" t="inlineStr">
        <is>
          <t>안정</t>
        </is>
      </c>
      <c r="U203" s="34" t="inlineStr">
        <is>
          <t>PEG계·1,4-다이옥산 이슈 개념</t>
        </is>
      </c>
      <c r="V203" s="34" t="inlineStr">
        <is>
          <t>₩5,000/100g</t>
        </is>
      </c>
      <c r="W203" s="37" t="inlineStr">
        <is>
          <t>★★★★☆</t>
        </is>
      </c>
      <c r="X203" s="34" t="inlineStr">
        <is>
          <t>서늘</t>
        </is>
      </c>
      <c r="Y203" s="34" t="inlineStr">
        <is>
          <t>제한 없음</t>
        </is>
      </c>
      <c r="Z203" s="34" t="inlineStr">
        <is>
          <t>—</t>
        </is>
      </c>
      <c r="AA203" s="34" t="inlineStr">
        <is>
          <t>폴리글리세릴-4 카프레이트</t>
        </is>
      </c>
      <c r="AB203" s="34" t="inlineStr">
        <is>
          <t>싸고 강력. 클린 포지션 X</t>
        </is>
      </c>
      <c r="AC203" s="34" t="inlineStr">
        <is>
          <t>—</t>
        </is>
      </c>
      <c r="AD203" s="34" t="inlineStr">
        <is>
          <t>기본</t>
        </is>
      </c>
      <c r="AE203" s="38" t="n"/>
      <c r="AF203" s="39" t="n"/>
      <c r="AG203" s="38" t="n"/>
    </row>
    <row r="204" ht="92" customHeight="1">
      <c r="A204" s="67" t="n">
        <v>200</v>
      </c>
      <c r="B204" s="68" t="inlineStr">
        <is>
          <t>PEG-40 하이드로제네이티드캐스터오일</t>
        </is>
      </c>
      <c r="C204" s="34" t="inlineStr">
        <is>
          <t>PEG-40 Hydrogenated Castor Oil</t>
        </is>
      </c>
      <c r="D204" s="37" t="inlineStr">
        <is>
          <t>–</t>
        </is>
      </c>
      <c r="E204" s="69" t="inlineStr">
        <is>
          <t>가용화</t>
        </is>
      </c>
      <c r="F204" s="34" t="inlineStr">
        <is>
          <t>향 가용화(토너 표준)</t>
        </is>
      </c>
      <c r="G204" s="34" t="inlineStr">
        <is>
          <t>식물+합성</t>
        </is>
      </c>
      <c r="H204" s="34" t="inlineStr">
        <is>
          <t>피마자유</t>
        </is>
      </c>
      <c r="I204" s="34" t="inlineStr">
        <is>
          <t>수소화 → 에톡실화(EO 40몰)</t>
        </is>
      </c>
      <c r="J204" s="34" t="inlineStr">
        <is>
          <t>비이온 PEG계</t>
        </is>
      </c>
      <c r="K204" s="34" t="inlineStr">
        <is>
          <t>반고체 페이스트</t>
        </is>
      </c>
      <c r="L204" s="34" t="inlineStr">
        <is>
          <t>백색~연황</t>
        </is>
      </c>
      <c r="M204" s="34" t="inlineStr">
        <is>
          <t>약한 냄새</t>
        </is>
      </c>
      <c r="N204" s="34" t="inlineStr">
        <is>
          <t>수용성</t>
        </is>
      </c>
      <c r="O204" s="34" t="inlineStr">
        <is>
          <t>가온해 향과 혼합</t>
        </is>
      </c>
      <c r="P204" s="34" t="inlineStr">
        <is>
          <t>무감</t>
        </is>
      </c>
      <c r="Q204" s="34" t="inlineStr">
        <is>
          <t>—</t>
        </is>
      </c>
      <c r="R204" s="34" t="inlineStr">
        <is>
          <t>—</t>
        </is>
      </c>
      <c r="S204" s="34" t="inlineStr">
        <is>
          <t>향의 3~5배</t>
        </is>
      </c>
      <c r="T204" s="34" t="inlineStr">
        <is>
          <t>안정</t>
        </is>
      </c>
      <c r="U204" s="34" t="inlineStr">
        <is>
          <t>실온 반고체 → 따뜻하게</t>
        </is>
      </c>
      <c r="V204" s="34" t="inlineStr">
        <is>
          <t>₩10,000/100g</t>
        </is>
      </c>
      <c r="W204" s="37" t="inlineStr">
        <is>
          <t>★★★☆☆</t>
        </is>
      </c>
      <c r="X204" s="34" t="inlineStr">
        <is>
          <t>서늘</t>
        </is>
      </c>
      <c r="Y204" s="34" t="inlineStr">
        <is>
          <t>제한 없음</t>
        </is>
      </c>
      <c r="Z204" s="34" t="inlineStr">
        <is>
          <t>—</t>
        </is>
      </c>
      <c r="AA204" s="34" t="inlineStr">
        <is>
          <t>폴리소르베이트20</t>
        </is>
      </c>
      <c r="AB204" s="34" t="inlineStr">
        <is>
          <t>투명도 최고. PEG계</t>
        </is>
      </c>
      <c r="AC204" s="34" t="inlineStr">
        <is>
          <t>—</t>
        </is>
      </c>
      <c r="AD204" s="34" t="inlineStr">
        <is>
          <t>기본</t>
        </is>
      </c>
      <c r="AE204" s="38" t="n"/>
      <c r="AF204" s="39" t="n"/>
      <c r="AG204" s="38" t="n"/>
    </row>
    <row r="205" ht="92" customHeight="1">
      <c r="A205" s="70" t="n">
        <v>201</v>
      </c>
      <c r="B205" s="71" t="inlineStr">
        <is>
          <t>코카미도프로필베타인(CAPB)</t>
        </is>
      </c>
      <c r="C205" s="34" t="inlineStr">
        <is>
          <t>Cocamidopropyl Betaine</t>
        </is>
      </c>
      <c r="D205" s="37" t="inlineStr">
        <is>
          <t>–</t>
        </is>
      </c>
      <c r="E205" s="72" t="inlineStr">
        <is>
          <t>계면</t>
        </is>
      </c>
      <c r="F205" s="34" t="inlineStr">
        <is>
          <t>보조 세정·거품·자극 완화</t>
        </is>
      </c>
      <c r="G205" s="34" t="inlineStr">
        <is>
          <t>식물+합성</t>
        </is>
      </c>
      <c r="H205" s="34" t="inlineStr">
        <is>
          <t>코코넛 지방산 + DMAPA</t>
        </is>
      </c>
      <c r="I205" s="34" t="inlineStr">
        <is>
          <t>아마이드화 → 베타인화, 30% 수용액</t>
        </is>
      </c>
      <c r="J205" s="34" t="inlineStr">
        <is>
          <t>양쪽성 계면활성제</t>
        </is>
      </c>
      <c r="K205" s="34" t="inlineStr">
        <is>
          <t>액상(30%)</t>
        </is>
      </c>
      <c r="L205" s="34" t="inlineStr">
        <is>
          <t>연노랑</t>
        </is>
      </c>
      <c r="M205" s="34" t="inlineStr">
        <is>
          <t>약한 특유취</t>
        </is>
      </c>
      <c r="N205" s="34" t="inlineStr">
        <is>
          <t>수용성</t>
        </is>
      </c>
      <c r="O205" s="34" t="inlineStr">
        <is>
          <t>상온 혼합</t>
        </is>
      </c>
      <c r="P205" s="34" t="inlineStr">
        <is>
          <t>순한 세정</t>
        </is>
      </c>
      <c r="Q205" s="34" t="inlineStr">
        <is>
          <t>—</t>
        </is>
      </c>
      <c r="R205" s="34" t="inlineStr">
        <is>
          <t>덜 당김</t>
        </is>
      </c>
      <c r="S205" s="34" t="inlineStr">
        <is>
          <t>5~15%</t>
        </is>
      </c>
      <c r="T205" s="34" t="inlineStr">
        <is>
          <t>pH 5~7</t>
        </is>
      </c>
      <c r="U205" s="34" t="inlineStr">
        <is>
          <t>음이온(SLES 등)과 섞으면 자극↓·점도↑(소금 소량)</t>
        </is>
      </c>
      <c r="V205" s="34" t="inlineStr">
        <is>
          <t>₩5,000/500g</t>
        </is>
      </c>
      <c r="W205" s="37" t="inlineStr">
        <is>
          <t>★★★★☆</t>
        </is>
      </c>
      <c r="X205" s="34" t="inlineStr">
        <is>
          <t>서늘</t>
        </is>
      </c>
      <c r="Y205" s="34" t="inlineStr">
        <is>
          <t>제한 없음 (불순물 아미도아민 알레르기 관리)</t>
        </is>
      </c>
      <c r="Z205" s="34" t="inlineStr">
        <is>
          <t>양쪽성 계면활성제 분류</t>
        </is>
      </c>
      <c r="AA205" s="34" t="inlineStr">
        <is>
          <t>데실글루코사이드·애플계면활성제</t>
        </is>
      </c>
      <c r="AB205" s="34" t="inlineStr">
        <is>
          <t>세정제 2번째 계면활성제 기본</t>
        </is>
      </c>
      <c r="AC205" s="34" t="inlineStr">
        <is>
          <t>—</t>
        </is>
      </c>
      <c r="AD205" s="34" t="inlineStr">
        <is>
          <t>도감 기능성</t>
        </is>
      </c>
      <c r="AE205" s="38" t="n"/>
      <c r="AF205" s="39" t="n"/>
      <c r="AG205" s="38" t="n"/>
    </row>
    <row r="206" ht="92" customHeight="1">
      <c r="A206" s="70" t="n">
        <v>202</v>
      </c>
      <c r="B206" s="71" t="inlineStr">
        <is>
          <t>데실글루코사이드</t>
        </is>
      </c>
      <c r="C206" s="34" t="inlineStr">
        <is>
          <t>Decyl Glucoside</t>
        </is>
      </c>
      <c r="D206" s="37" t="inlineStr">
        <is>
          <t>–</t>
        </is>
      </c>
      <c r="E206" s="72" t="inlineStr">
        <is>
          <t>계면</t>
        </is>
      </c>
      <c r="F206" s="34" t="inlineStr">
        <is>
          <t>순한 세정</t>
        </is>
      </c>
      <c r="G206" s="34" t="inlineStr">
        <is>
          <t>식물</t>
        </is>
      </c>
      <c r="H206" s="34" t="inlineStr">
        <is>
          <t>옥수수 포도당 + 코코넛 C10 알코올</t>
        </is>
      </c>
      <c r="I206" s="34" t="inlineStr">
        <is>
          <t>글리코실화</t>
        </is>
      </c>
      <c r="J206" s="34" t="inlineStr">
        <is>
          <t>비이온 APG</t>
        </is>
      </c>
      <c r="K206" s="34" t="inlineStr">
        <is>
          <t>점성 액(50%)</t>
        </is>
      </c>
      <c r="L206" s="34" t="inlineStr">
        <is>
          <t>연노랑</t>
        </is>
      </c>
      <c r="M206" s="34" t="inlineStr">
        <is>
          <t>약한 냄새</t>
        </is>
      </c>
      <c r="N206" s="34" t="inlineStr">
        <is>
          <t>수용성</t>
        </is>
      </c>
      <c r="O206" s="34" t="inlineStr">
        <is>
          <t>상온</t>
        </is>
      </c>
      <c r="P206" s="34" t="inlineStr">
        <is>
          <t>순하지만 약간 뽀득</t>
        </is>
      </c>
      <c r="Q206" s="34" t="inlineStr">
        <is>
          <t>—</t>
        </is>
      </c>
      <c r="R206" s="34" t="inlineStr">
        <is>
          <t>약간 건조</t>
        </is>
      </c>
      <c r="S206" s="34" t="inlineStr">
        <is>
          <t>5~15%</t>
        </is>
      </c>
      <c r="T206" s="34" t="inlineStr">
        <is>
          <t>★ 원료 pH 11~12 → 구연산으로 5.5 조정</t>
        </is>
      </c>
      <c r="U206" s="34" t="inlineStr">
        <is>
          <t>점도 잘 안 남 → 잔탄/폴리머 필요</t>
        </is>
      </c>
      <c r="V206" s="34" t="inlineStr">
        <is>
          <t>₩8,000/250g</t>
        </is>
      </c>
      <c r="W206" s="37" t="inlineStr">
        <is>
          <t>★★★☆☆</t>
        </is>
      </c>
      <c r="X206" s="34" t="inlineStr">
        <is>
          <t>서늘</t>
        </is>
      </c>
      <c r="Y206" s="34" t="inlineStr">
        <is>
          <t>제한 없음</t>
        </is>
      </c>
      <c r="Z206" s="34" t="inlineStr">
        <is>
          <t>비이온 계면활성제</t>
        </is>
      </c>
      <c r="AA206" s="34" t="inlineStr">
        <is>
          <t>코코글루코사이드·CAPB</t>
        </is>
      </c>
      <c r="AB206" s="34" t="inlineStr">
        <is>
          <t>유아·민감 세정의 대표</t>
        </is>
      </c>
      <c r="AC206" s="34" t="inlineStr">
        <is>
          <t>원료 pH 측정 → 구연산으로 내리기 실습</t>
        </is>
      </c>
      <c r="AD206" s="34" t="inlineStr">
        <is>
          <t>도감 기능성</t>
        </is>
      </c>
      <c r="AE206" s="38" t="n"/>
      <c r="AF206" s="39" t="n"/>
      <c r="AG206" s="38" t="n"/>
    </row>
    <row r="207" ht="92" customHeight="1">
      <c r="A207" s="70" t="n">
        <v>203</v>
      </c>
      <c r="B207" s="71" t="inlineStr">
        <is>
          <t>코코글루코사이드</t>
        </is>
      </c>
      <c r="C207" s="34" t="inlineStr">
        <is>
          <t>Coco-Glucoside</t>
        </is>
      </c>
      <c r="D207" s="37" t="inlineStr">
        <is>
          <t>–</t>
        </is>
      </c>
      <c r="E207" s="72" t="inlineStr">
        <is>
          <t>계면</t>
        </is>
      </c>
      <c r="F207" s="34" t="inlineStr">
        <is>
          <t>순한 세정·거품</t>
        </is>
      </c>
      <c r="G207" s="34" t="inlineStr">
        <is>
          <t>식물</t>
        </is>
      </c>
      <c r="H207" s="34" t="inlineStr">
        <is>
          <t>포도당 + 코코넛 지방알코올(C8~16)</t>
        </is>
      </c>
      <c r="I207" s="34" t="inlineStr">
        <is>
          <t>글리코실화</t>
        </is>
      </c>
      <c r="J207" s="34" t="inlineStr">
        <is>
          <t>비이온 APG</t>
        </is>
      </c>
      <c r="K207" s="34" t="inlineStr">
        <is>
          <t>점성 액</t>
        </is>
      </c>
      <c r="L207" s="34" t="inlineStr">
        <is>
          <t>연노랑~호박</t>
        </is>
      </c>
      <c r="M207" s="34" t="inlineStr">
        <is>
          <t>약한 냄새</t>
        </is>
      </c>
      <c r="N207" s="34" t="inlineStr">
        <is>
          <t>수용성</t>
        </is>
      </c>
      <c r="O207" s="34" t="inlineStr">
        <is>
          <t>상온</t>
        </is>
      </c>
      <c r="P207" s="34" t="inlineStr">
        <is>
          <t>데실보다 거품·세정 약간↑</t>
        </is>
      </c>
      <c r="Q207" s="34" t="inlineStr">
        <is>
          <t>—</t>
        </is>
      </c>
      <c r="R207" s="34" t="inlineStr">
        <is>
          <t>부드러움</t>
        </is>
      </c>
      <c r="S207" s="34" t="inlineStr">
        <is>
          <t>5~15%</t>
        </is>
      </c>
      <c r="T207" s="34" t="inlineStr">
        <is>
          <t>원료 pH 11~12</t>
        </is>
      </c>
      <c r="U207" s="34" t="inlineStr">
        <is>
          <t>데실과 같은 계열(사슬 길이 차이)</t>
        </is>
      </c>
      <c r="V207" s="34" t="inlineStr">
        <is>
          <t>₩8,000/250g</t>
        </is>
      </c>
      <c r="W207" s="37" t="inlineStr">
        <is>
          <t>★★★☆☆</t>
        </is>
      </c>
      <c r="X207" s="34" t="inlineStr">
        <is>
          <t>서늘</t>
        </is>
      </c>
      <c r="Y207" s="34" t="inlineStr">
        <is>
          <t>제한 없음</t>
        </is>
      </c>
      <c r="Z207" s="34" t="inlineStr">
        <is>
          <t>—</t>
        </is>
      </c>
      <c r="AA207" s="34" t="inlineStr">
        <is>
          <t>데실글루코사이드</t>
        </is>
      </c>
      <c r="AB207" s="34" t="inlineStr">
        <is>
          <t>거품 조금 더 원할 때</t>
        </is>
      </c>
      <c r="AC207" s="34" t="inlineStr">
        <is>
          <t>—</t>
        </is>
      </c>
      <c r="AD207" s="34" t="inlineStr">
        <is>
          <t>도감 기능성</t>
        </is>
      </c>
      <c r="AE207" s="38" t="n"/>
      <c r="AF207" s="39" t="n"/>
      <c r="AG207" s="38" t="n"/>
    </row>
    <row r="208" ht="92" customHeight="1">
      <c r="A208" s="70" t="n">
        <v>204</v>
      </c>
      <c r="B208" s="71" t="inlineStr">
        <is>
          <t>소듐코코일이세티오네이트(SCI)</t>
        </is>
      </c>
      <c r="C208" s="34" t="inlineStr">
        <is>
          <t>Sodium Cocoyl Isethionate</t>
        </is>
      </c>
      <c r="D208" s="37" t="inlineStr">
        <is>
          <t>–</t>
        </is>
      </c>
      <c r="E208" s="72" t="inlineStr">
        <is>
          <t>계면</t>
        </is>
      </c>
      <c r="F208" s="34" t="inlineStr">
        <is>
          <t>크리미 거품·고체 세정바</t>
        </is>
      </c>
      <c r="G208" s="34" t="inlineStr">
        <is>
          <t>식물+합성</t>
        </is>
      </c>
      <c r="H208" s="34" t="inlineStr">
        <is>
          <t>코코넛 지방산 + 이세티온산</t>
        </is>
      </c>
      <c r="I208" s="34" t="inlineStr">
        <is>
          <t>에스터화 → 분말/누들</t>
        </is>
      </c>
      <c r="J208" s="34" t="inlineStr">
        <is>
          <t>음이온(마일드)</t>
        </is>
      </c>
      <c r="K208" s="34" t="inlineStr">
        <is>
          <t>분말/누들</t>
        </is>
      </c>
      <c r="L208" s="34" t="inlineStr">
        <is>
          <t>백색</t>
        </is>
      </c>
      <c r="M208" s="34" t="inlineStr">
        <is>
          <t>약한 냄새</t>
        </is>
      </c>
      <c r="N208" s="34" t="inlineStr">
        <is>
          <t>물에 잘 안 녹음(가온)</t>
        </is>
      </c>
      <c r="O208" s="34" t="inlineStr">
        <is>
          <t>가온 용해(70℃)</t>
        </is>
      </c>
      <c r="P208" s="34" t="inlineStr">
        <is>
          <t>크리미·부드러운 세정</t>
        </is>
      </c>
      <c r="Q208" s="34" t="inlineStr">
        <is>
          <t>—</t>
        </is>
      </c>
      <c r="R208" s="34" t="inlineStr">
        <is>
          <t>촉촉</t>
        </is>
      </c>
      <c r="S208" s="34" t="inlineStr">
        <is>
          <t>5~20% (바 40~70%)</t>
        </is>
      </c>
      <c r="T208" s="34" t="inlineStr">
        <is>
          <t>pH 5.5~7, 고pH에서 가수분해</t>
        </is>
      </c>
      <c r="U208" s="34" t="inlineStr">
        <is>
          <t>샴푸바·클렌징바 핵심. 분진 주의</t>
        </is>
      </c>
      <c r="V208" s="34" t="inlineStr">
        <is>
          <t>₩10,000/250g</t>
        </is>
      </c>
      <c r="W208" s="37" t="inlineStr">
        <is>
          <t>★★★☆☆</t>
        </is>
      </c>
      <c r="X208" s="34" t="inlineStr">
        <is>
          <t>방습</t>
        </is>
      </c>
      <c r="Y208" s="34" t="inlineStr">
        <is>
          <t>제한 없음</t>
        </is>
      </c>
      <c r="Z208" s="34" t="inlineStr">
        <is>
          <t>—</t>
        </is>
      </c>
      <c r="AA208" s="34" t="inlineStr">
        <is>
          <t>SLMI·SLSA</t>
        </is>
      </c>
      <c r="AB208" s="34" t="inlineStr">
        <is>
          <t>고체 세정제·크리미 거품</t>
        </is>
      </c>
      <c r="AC208" s="34" t="inlineStr">
        <is>
          <t>—</t>
        </is>
      </c>
      <c r="AD208" s="34" t="inlineStr">
        <is>
          <t>도감 기능성</t>
        </is>
      </c>
      <c r="AE208" s="38" t="n"/>
      <c r="AF208" s="39" t="n"/>
      <c r="AG208" s="38" t="n"/>
    </row>
    <row r="209" ht="92" customHeight="1">
      <c r="A209" s="70" t="n">
        <v>205</v>
      </c>
      <c r="B209" s="71" t="inlineStr">
        <is>
          <t>소듐라우로일메틸이세티오네이트(SLMI)</t>
        </is>
      </c>
      <c r="C209" s="34" t="inlineStr">
        <is>
          <t>Sodium Lauroyl Methyl Isethionate</t>
        </is>
      </c>
      <c r="D209" s="37" t="inlineStr">
        <is>
          <t>–</t>
        </is>
      </c>
      <c r="E209" s="72" t="inlineStr">
        <is>
          <t>계면</t>
        </is>
      </c>
      <c r="F209" s="34" t="inlineStr">
        <is>
          <t>투명 마일드 세정</t>
        </is>
      </c>
      <c r="G209" s="34" t="inlineStr">
        <is>
          <t>식물+합성</t>
        </is>
      </c>
      <c r="H209" s="34" t="inlineStr">
        <is>
          <t>라우르산 + 메틸이세티온산</t>
        </is>
      </c>
      <c r="I209" s="34" t="inlineStr">
        <is>
          <t>에스터화</t>
        </is>
      </c>
      <c r="J209" s="34" t="inlineStr">
        <is>
          <t>음이온(마일드)</t>
        </is>
      </c>
      <c r="K209" s="34" t="inlineStr">
        <is>
          <t>액상/페이스트</t>
        </is>
      </c>
      <c r="L209" s="34" t="inlineStr">
        <is>
          <t>무색~연노랑</t>
        </is>
      </c>
      <c r="M209" s="34" t="inlineStr">
        <is>
          <t>무취</t>
        </is>
      </c>
      <c r="N209" s="34" t="inlineStr">
        <is>
          <t>수용성(SCI보다 잘 녹음)</t>
        </is>
      </c>
      <c r="O209" s="34" t="inlineStr">
        <is>
          <t>상온</t>
        </is>
      </c>
      <c r="P209" s="34" t="inlineStr">
        <is>
          <t>부드럽고 풍성한 거품</t>
        </is>
      </c>
      <c r="Q209" s="34" t="inlineStr">
        <is>
          <t>—</t>
        </is>
      </c>
      <c r="R209" s="34" t="inlineStr">
        <is>
          <t>촉촉</t>
        </is>
      </c>
      <c r="S209" s="34" t="inlineStr">
        <is>
          <t>5~15%</t>
        </is>
      </c>
      <c r="T209" s="34" t="inlineStr">
        <is>
          <t>pH 5~7</t>
        </is>
      </c>
      <c r="U209" s="34" t="inlineStr">
        <is>
          <t>SCI의 액상 친화 버전</t>
        </is>
      </c>
      <c r="V209" s="34" t="inlineStr">
        <is>
          <t>₩15,000/250g</t>
        </is>
      </c>
      <c r="W209" s="37" t="inlineStr">
        <is>
          <t>★★☆☆☆</t>
        </is>
      </c>
      <c r="X209" s="34" t="inlineStr">
        <is>
          <t>서늘</t>
        </is>
      </c>
      <c r="Y209" s="34" t="inlineStr">
        <is>
          <t>제한 없음</t>
        </is>
      </c>
      <c r="Z209" s="34" t="inlineStr">
        <is>
          <t>—</t>
        </is>
      </c>
      <c r="AA209" s="34" t="inlineStr">
        <is>
          <t>SCI·소듐코코일글루타메이트</t>
        </is>
      </c>
      <c r="AB209" s="34" t="inlineStr">
        <is>
          <t>약산성 투명 클렌저</t>
        </is>
      </c>
      <c r="AC209" s="34" t="inlineStr">
        <is>
          <t>—</t>
        </is>
      </c>
      <c r="AD209" s="34" t="inlineStr">
        <is>
          <t>도감 기능성</t>
        </is>
      </c>
      <c r="AE209" s="38" t="n"/>
      <c r="AF209" s="39" t="n"/>
      <c r="AG209" s="38" t="n"/>
    </row>
    <row r="210" ht="92" customHeight="1">
      <c r="A210" s="70" t="n">
        <v>206</v>
      </c>
      <c r="B210" s="71" t="inlineStr">
        <is>
          <t>소듐코코일글루타메이트</t>
        </is>
      </c>
      <c r="C210" s="34" t="inlineStr">
        <is>
          <t>Sodium Cocoyl Glutamate</t>
        </is>
      </c>
      <c r="D210" s="37" t="inlineStr">
        <is>
          <t>–</t>
        </is>
      </c>
      <c r="E210" s="72" t="inlineStr">
        <is>
          <t>계면</t>
        </is>
      </c>
      <c r="F210" s="34" t="inlineStr">
        <is>
          <t>아미노산계 순한 세정</t>
        </is>
      </c>
      <c r="G210" s="34" t="inlineStr">
        <is>
          <t>식물+발효</t>
        </is>
      </c>
      <c r="H210" s="34" t="inlineStr">
        <is>
          <t>코코넛 지방산 + 글루탐산</t>
        </is>
      </c>
      <c r="I210" s="34" t="inlineStr">
        <is>
          <t>아실화 → 나트륨염(약 25~30% 수용액)</t>
        </is>
      </c>
      <c r="J210" s="34" t="inlineStr">
        <is>
          <t>아미노산계 음이온</t>
        </is>
      </c>
      <c r="K210" s="34" t="inlineStr">
        <is>
          <t>액상</t>
        </is>
      </c>
      <c r="L210" s="34" t="inlineStr">
        <is>
          <t>무색~연노랑</t>
        </is>
      </c>
      <c r="M210" s="34" t="inlineStr">
        <is>
          <t>약한 냄새</t>
        </is>
      </c>
      <c r="N210" s="34" t="inlineStr">
        <is>
          <t>수용성</t>
        </is>
      </c>
      <c r="O210" s="34" t="inlineStr">
        <is>
          <t>상온</t>
        </is>
      </c>
      <c r="P210" s="34" t="inlineStr">
        <is>
          <t>순하고 뽀득함 적음</t>
        </is>
      </c>
      <c r="Q210" s="34" t="inlineStr">
        <is>
          <t>—</t>
        </is>
      </c>
      <c r="R210" s="34" t="inlineStr">
        <is>
          <t>촉촉</t>
        </is>
      </c>
      <c r="S210" s="34" t="inlineStr">
        <is>
          <t>5~15%</t>
        </is>
      </c>
      <c r="T210" s="34" t="inlineStr">
        <is>
          <t>pH 5~6.5 (낮으면 탁해짐)</t>
        </is>
      </c>
      <c r="U210" s="34" t="inlineStr">
        <is>
          <t>점도 내기 어려움 → 폴리머·글루코사이드 조합</t>
        </is>
      </c>
      <c r="V210" s="34" t="inlineStr">
        <is>
          <t>₩15,000/250g</t>
        </is>
      </c>
      <c r="W210" s="37" t="inlineStr">
        <is>
          <t>★★★☆☆</t>
        </is>
      </c>
      <c r="X210" s="34" t="inlineStr">
        <is>
          <t>서늘</t>
        </is>
      </c>
      <c r="Y210" s="34" t="inlineStr">
        <is>
          <t>제한 없음</t>
        </is>
      </c>
      <c r="Z210" s="34" t="inlineStr">
        <is>
          <t>아미노산계 계면활성제</t>
        </is>
      </c>
      <c r="AA210" s="34" t="inlineStr">
        <is>
          <t>애플계면활성제·SLMI</t>
        </is>
      </c>
      <c r="AB210" s="34" t="inlineStr">
        <is>
          <t>약산성 폼클렌저 프리미엄</t>
        </is>
      </c>
      <c r="AC210" s="34" t="inlineStr">
        <is>
          <t>—</t>
        </is>
      </c>
      <c r="AD210" s="34" t="inlineStr">
        <is>
          <t>도감 기능성</t>
        </is>
      </c>
      <c r="AE210" s="38" t="n"/>
      <c r="AF210" s="39" t="n"/>
      <c r="AG210" s="38" t="n"/>
    </row>
    <row r="211" ht="92" customHeight="1">
      <c r="A211" s="70" t="n">
        <v>207</v>
      </c>
      <c r="B211" s="71" t="inlineStr">
        <is>
          <t>소듐라우로일사코시네이트</t>
        </is>
      </c>
      <c r="C211" s="34" t="inlineStr">
        <is>
          <t>Sodium Lauroyl Sarcosinate</t>
        </is>
      </c>
      <c r="D211" s="37" t="inlineStr">
        <is>
          <t>–</t>
        </is>
      </c>
      <c r="E211" s="72" t="inlineStr">
        <is>
          <t>계면</t>
        </is>
      </c>
      <c r="F211" s="34" t="inlineStr">
        <is>
          <t>거품·세정</t>
        </is>
      </c>
      <c r="G211" s="34" t="inlineStr">
        <is>
          <t>합성(식물 지방산)</t>
        </is>
      </c>
      <c r="H211" s="34" t="inlineStr">
        <is>
          <t>라우르산 + 사르코신</t>
        </is>
      </c>
      <c r="I211" s="34" t="inlineStr">
        <is>
          <t>아실화 → 30% 수용액</t>
        </is>
      </c>
      <c r="J211" s="34" t="inlineStr">
        <is>
          <t>아미노산계 음이온</t>
        </is>
      </c>
      <c r="K211" s="34" t="inlineStr">
        <is>
          <t>액상</t>
        </is>
      </c>
      <c r="L211" s="34" t="inlineStr">
        <is>
          <t>무색</t>
        </is>
      </c>
      <c r="M211" s="34" t="inlineStr">
        <is>
          <t>약한 냄새</t>
        </is>
      </c>
      <c r="N211" s="34" t="inlineStr">
        <is>
          <t>수용성</t>
        </is>
      </c>
      <c r="O211" s="34" t="inlineStr">
        <is>
          <t>상온</t>
        </is>
      </c>
      <c r="P211" s="34" t="inlineStr">
        <is>
          <t>풍성한 거품</t>
        </is>
      </c>
      <c r="Q211" s="34" t="inlineStr">
        <is>
          <t>—</t>
        </is>
      </c>
      <c r="R211" s="34" t="inlineStr">
        <is>
          <t>약간 건조</t>
        </is>
      </c>
      <c r="S211" s="34" t="inlineStr">
        <is>
          <t>3~10%</t>
        </is>
      </c>
      <c r="T211" s="34" t="inlineStr">
        <is>
          <t>pH 6~8</t>
        </is>
      </c>
      <c r="U211" s="34" t="inlineStr">
        <is>
          <t>니트로사민 관련 관리</t>
        </is>
      </c>
      <c r="V211" s="34" t="inlineStr">
        <is>
          <t>₩10,000/250g</t>
        </is>
      </c>
      <c r="W211" s="37" t="inlineStr">
        <is>
          <t>★★☆☆☆</t>
        </is>
      </c>
      <c r="X211" s="34" t="inlineStr">
        <is>
          <t>서늘</t>
        </is>
      </c>
      <c r="Y211" s="34" t="inlineStr">
        <is>
          <t>★ 사용 후 씻어내는 제품에만 허용(기타 금지)</t>
        </is>
      </c>
      <c r="Z211" s="34" t="inlineStr">
        <is>
          <t>★ 사용제한 '씻어내는 제품' 조건</t>
        </is>
      </c>
      <c r="AA211" s="34" t="inlineStr">
        <is>
          <t>CAPB·SLMI</t>
        </is>
      </c>
      <c r="AB211" s="34" t="inlineStr">
        <is>
          <t>세정제 전용. 바르는 제품에 쓰면 위반</t>
        </is>
      </c>
      <c r="AC211" s="34" t="inlineStr">
        <is>
          <t>—</t>
        </is>
      </c>
      <c r="AD211" s="34" t="inlineStr">
        <is>
          <t>도감 기능성</t>
        </is>
      </c>
      <c r="AE211" s="38" t="n"/>
      <c r="AF211" s="39" t="n"/>
      <c r="AG211" s="38" t="n"/>
    </row>
    <row r="212" ht="92" customHeight="1">
      <c r="A212" s="70" t="n">
        <v>208</v>
      </c>
      <c r="B212" s="71" t="inlineStr">
        <is>
          <t>소듐라우레스설페이트(SLES)</t>
        </is>
      </c>
      <c r="C212" s="34" t="inlineStr">
        <is>
          <t>Sodium Laureth Sulfate</t>
        </is>
      </c>
      <c r="D212" s="37" t="inlineStr">
        <is>
          <t>–</t>
        </is>
      </c>
      <c r="E212" s="72" t="inlineStr">
        <is>
          <t>계면</t>
        </is>
      </c>
      <c r="F212" s="34" t="inlineStr">
        <is>
          <t>강한 세정·거품(주 계면)</t>
        </is>
      </c>
      <c r="G212" s="34" t="inlineStr">
        <is>
          <t>석유/식물+합성</t>
        </is>
      </c>
      <c r="H212" s="34" t="inlineStr">
        <is>
          <t>라우릴알코올(팜·코코넛) + EO + 황산화</t>
        </is>
      </c>
      <c r="I212" s="34" t="inlineStr">
        <is>
          <t>에톡실화 → 황산화 → 중화</t>
        </is>
      </c>
      <c r="J212" s="34" t="inlineStr">
        <is>
          <t>음이온 설페이트</t>
        </is>
      </c>
      <c r="K212" s="34" t="inlineStr">
        <is>
          <t>점성 페이스트(70%)/액(25%)</t>
        </is>
      </c>
      <c r="L212" s="34" t="inlineStr">
        <is>
          <t>무색~연노랑</t>
        </is>
      </c>
      <c r="M212" s="34" t="inlineStr">
        <is>
          <t>약한 냄새</t>
        </is>
      </c>
      <c r="N212" s="34" t="inlineStr">
        <is>
          <t>수용성</t>
        </is>
      </c>
      <c r="O212" s="34" t="inlineStr">
        <is>
          <t>상온(70%는 희석 주의: 젤 상)</t>
        </is>
      </c>
      <c r="P212" s="34" t="inlineStr">
        <is>
          <t>강한 세정·거품</t>
        </is>
      </c>
      <c r="Q212" s="34" t="inlineStr">
        <is>
          <t>—</t>
        </is>
      </c>
      <c r="R212" s="34" t="inlineStr">
        <is>
          <t>당김</t>
        </is>
      </c>
      <c r="S212" s="34" t="inlineStr">
        <is>
          <t>5~15%</t>
        </is>
      </c>
      <c r="T212" s="34" t="inlineStr">
        <is>
          <t>pH 5~7, 소금으로 점도</t>
        </is>
      </c>
      <c r="U212" s="34" t="inlineStr">
        <is>
          <t>1,4-다이옥산(에톡실화 부산물) 관리. 'SLS-free' 마케팅 대상</t>
        </is>
      </c>
      <c r="V212" s="34" t="inlineStr">
        <is>
          <t>₩5,000/500g</t>
        </is>
      </c>
      <c r="W212" s="37" t="inlineStr">
        <is>
          <t>★★★★☆</t>
        </is>
      </c>
      <c r="X212" s="34" t="inlineStr">
        <is>
          <t>서늘</t>
        </is>
      </c>
      <c r="Y212" s="34" t="inlineStr">
        <is>
          <t>제한 없음 / 1,4-다이옥산 비의도 검출 100µg/g 이하</t>
        </is>
      </c>
      <c r="Z212" s="34" t="inlineStr">
        <is>
          <t>★ 비의도 검출 허용한도(다이옥산)</t>
        </is>
      </c>
      <c r="AA212" s="34" t="inlineStr">
        <is>
          <t>SLSA·애플계면활성제·CAPB</t>
        </is>
      </c>
      <c r="AB212" s="34" t="inlineStr">
        <is>
          <t>싸고 강력. 순한 포지션이면 대체</t>
        </is>
      </c>
      <c r="AC212" s="34" t="inlineStr">
        <is>
          <t>—</t>
        </is>
      </c>
      <c r="AD212" s="34" t="inlineStr">
        <is>
          <t>도감 기능성</t>
        </is>
      </c>
      <c r="AE212" s="38" t="n"/>
      <c r="AF212" s="39" t="n"/>
      <c r="AG212" s="38" t="n"/>
    </row>
    <row r="213" ht="92" customHeight="1">
      <c r="A213" s="70" t="n">
        <v>209</v>
      </c>
      <c r="B213" s="71" t="inlineStr">
        <is>
          <t>폴리쿼터늄-10</t>
        </is>
      </c>
      <c r="C213" s="34" t="inlineStr">
        <is>
          <t>Polyquaternium-10</t>
        </is>
      </c>
      <c r="D213" s="37" t="inlineStr">
        <is>
          <t>–</t>
        </is>
      </c>
      <c r="E213" s="72" t="inlineStr">
        <is>
          <t>계면</t>
        </is>
      </c>
      <c r="F213" s="34" t="inlineStr">
        <is>
          <t>컨디셔닝(양이온 폴리머)</t>
        </is>
      </c>
      <c r="G213" s="34" t="inlineStr">
        <is>
          <t>식물+합성</t>
        </is>
      </c>
      <c r="H213" s="34" t="inlineStr">
        <is>
          <t>셀룰로오스</t>
        </is>
      </c>
      <c r="I213" s="34" t="inlineStr">
        <is>
          <t>하이드록시에틸셀룰로오스 4급화</t>
        </is>
      </c>
      <c r="J213" s="34" t="inlineStr">
        <is>
          <t>양이온 셀룰로오스</t>
        </is>
      </c>
      <c r="K213" s="34" t="inlineStr">
        <is>
          <t>분말</t>
        </is>
      </c>
      <c r="L213" s="34" t="inlineStr">
        <is>
          <t>백색~미황</t>
        </is>
      </c>
      <c r="M213" s="34" t="inlineStr">
        <is>
          <t>무취</t>
        </is>
      </c>
      <c r="N213" s="34" t="inlineStr">
        <is>
          <t>수용성(분산 후 수화)</t>
        </is>
      </c>
      <c r="O213" s="34" t="inlineStr">
        <is>
          <t>A상 먼저 분산</t>
        </is>
      </c>
      <c r="P213" s="34" t="inlineStr">
        <is>
          <t>미끈·컨디셔닝</t>
        </is>
      </c>
      <c r="Q213" s="34" t="inlineStr">
        <is>
          <t>—</t>
        </is>
      </c>
      <c r="R213" s="34" t="inlineStr">
        <is>
          <t>부드러움</t>
        </is>
      </c>
      <c r="S213" s="34" t="inlineStr">
        <is>
          <t>0.1~0.5%</t>
        </is>
      </c>
      <c r="T213" s="34" t="inlineStr">
        <is>
          <t>pH 4~7</t>
        </is>
      </c>
      <c r="U213" s="34" t="inlineStr">
        <is>
          <t>음이온 계면과 '코아세르베이트' 형성 → 헹굴 때 침착</t>
        </is>
      </c>
      <c r="V213" s="34" t="inlineStr">
        <is>
          <t>₩15,000/100g</t>
        </is>
      </c>
      <c r="W213" s="37" t="inlineStr">
        <is>
          <t>★★☆☆☆</t>
        </is>
      </c>
      <c r="X213" s="34" t="inlineStr">
        <is>
          <t>방습</t>
        </is>
      </c>
      <c r="Y213" s="34" t="inlineStr">
        <is>
          <t>제한 없음</t>
        </is>
      </c>
      <c r="Z213" s="34" t="inlineStr">
        <is>
          <t>—</t>
        </is>
      </c>
      <c r="AA213" s="34" t="inlineStr">
        <is>
          <t>하이드록시프로필구아·BTMS</t>
        </is>
      </c>
      <c r="AB213" s="34" t="inlineStr">
        <is>
          <t>샴푸 엉킴↓의 표준</t>
        </is>
      </c>
      <c r="AC213" s="34" t="inlineStr">
        <is>
          <t>—</t>
        </is>
      </c>
      <c r="AD213" s="34" t="inlineStr">
        <is>
          <t>도감 기능성</t>
        </is>
      </c>
      <c r="AE213" s="38" t="n"/>
      <c r="AF213" s="39" t="n"/>
      <c r="AG213" s="38" t="n"/>
    </row>
    <row r="214" ht="92" customHeight="1">
      <c r="A214" s="70" t="n">
        <v>210</v>
      </c>
      <c r="B214" s="71" t="inlineStr">
        <is>
          <t>애플계면활성제</t>
        </is>
      </c>
      <c r="C214" s="34" t="inlineStr">
        <is>
          <t>Sodium Cocoyl Apple Amino Acids</t>
        </is>
      </c>
      <c r="D214" s="37" t="inlineStr">
        <is>
          <t>–</t>
        </is>
      </c>
      <c r="E214" s="72" t="inlineStr">
        <is>
          <t>계면</t>
        </is>
      </c>
      <c r="F214" s="34" t="inlineStr">
        <is>
          <t>아미노산계 순한 세정</t>
        </is>
      </c>
      <c r="G214" s="34" t="inlineStr">
        <is>
          <t>식물+발효</t>
        </is>
      </c>
      <c r="H214" s="34" t="inlineStr">
        <is>
          <t>사과 유래 아미노산 + 코코넛 지방산</t>
        </is>
      </c>
      <c r="I214" s="34" t="inlineStr">
        <is>
          <t>아실화 → 나트륨염 수용액</t>
        </is>
      </c>
      <c r="J214" s="34" t="inlineStr">
        <is>
          <t>아미노산계 음이온</t>
        </is>
      </c>
      <c r="K214" s="34" t="inlineStr">
        <is>
          <t>액상</t>
        </is>
      </c>
      <c r="L214" s="34" t="inlineStr">
        <is>
          <t>연노랑</t>
        </is>
      </c>
      <c r="M214" s="34" t="inlineStr">
        <is>
          <t>약한 과일·특유취</t>
        </is>
      </c>
      <c r="N214" s="34" t="inlineStr">
        <is>
          <t>수용성</t>
        </is>
      </c>
      <c r="O214" s="34" t="inlineStr">
        <is>
          <t>상온</t>
        </is>
      </c>
      <c r="P214" s="34" t="inlineStr">
        <is>
          <t>순하고 부드러운 거품</t>
        </is>
      </c>
      <c r="Q214" s="34" t="inlineStr">
        <is>
          <t>—</t>
        </is>
      </c>
      <c r="R214" s="34" t="inlineStr">
        <is>
          <t>촉촉</t>
        </is>
      </c>
      <c r="S214" s="34" t="inlineStr">
        <is>
          <t>5~20%</t>
        </is>
      </c>
      <c r="T214" s="34" t="inlineStr">
        <is>
          <t>pH 5~7</t>
        </is>
      </c>
      <c r="U214" s="34" t="inlineStr">
        <is>
          <t>허브누리 계면 1위. 점도 내기 어려움 → 글루코사이드/폴리머 조합</t>
        </is>
      </c>
      <c r="V214" s="34" t="inlineStr">
        <is>
          <t>₩15,000/250ml</t>
        </is>
      </c>
      <c r="W214" s="37" t="inlineStr">
        <is>
          <t>★★★★☆</t>
        </is>
      </c>
      <c r="X214" s="34" t="inlineStr">
        <is>
          <t>서늘</t>
        </is>
      </c>
      <c r="Y214" s="34" t="inlineStr">
        <is>
          <t>제한 없음</t>
        </is>
      </c>
      <c r="Z214" s="34" t="inlineStr">
        <is>
          <t>—</t>
        </is>
      </c>
      <c r="AA214" s="34" t="inlineStr">
        <is>
          <t>소듐코코일글루타메이트·CAPB</t>
        </is>
      </c>
      <c r="AB214" s="34" t="inlineStr">
        <is>
          <t>약산성 순한 클렌저 메인</t>
        </is>
      </c>
      <c r="AC214" s="34" t="inlineStr">
        <is>
          <t>—</t>
        </is>
      </c>
      <c r="AD214" s="34" t="inlineStr">
        <is>
          <t>허브누리</t>
        </is>
      </c>
      <c r="AE214" s="38" t="n"/>
      <c r="AF214" s="39" t="n"/>
      <c r="AG214" s="38" t="n"/>
    </row>
    <row r="215" ht="92" customHeight="1">
      <c r="A215" s="70" t="n">
        <v>211</v>
      </c>
      <c r="B215" s="71" t="inlineStr">
        <is>
          <t>SLSA</t>
        </is>
      </c>
      <c r="C215" s="34" t="inlineStr">
        <is>
          <t>Sodium Lauryl Sulfoacetate</t>
        </is>
      </c>
      <c r="D215" s="37" t="inlineStr">
        <is>
          <t>–</t>
        </is>
      </c>
      <c r="E215" s="72" t="inlineStr">
        <is>
          <t>계면</t>
        </is>
      </c>
      <c r="F215" s="34" t="inlineStr">
        <is>
          <t>풍성한 거품(분말)·배스밤</t>
        </is>
      </c>
      <c r="G215" s="34" t="inlineStr">
        <is>
          <t>식물+합성</t>
        </is>
      </c>
      <c r="H215" s="34" t="inlineStr">
        <is>
          <t>코코넛·팜 라우릴알코올</t>
        </is>
      </c>
      <c r="I215" s="34" t="inlineStr">
        <is>
          <t>설포아세트산 에스터화 → 분말</t>
        </is>
      </c>
      <c r="J215" s="34" t="inlineStr">
        <is>
          <t>음이온(설페이트 아님)</t>
        </is>
      </c>
      <c r="K215" s="34" t="inlineStr">
        <is>
          <t>분말/누들</t>
        </is>
      </c>
      <c r="L215" s="34" t="inlineStr">
        <is>
          <t>백색</t>
        </is>
      </c>
      <c r="M215" s="34" t="inlineStr">
        <is>
          <t>약한 냄새</t>
        </is>
      </c>
      <c r="N215" s="34" t="inlineStr">
        <is>
          <t>수용성</t>
        </is>
      </c>
      <c r="O215" s="34" t="inlineStr">
        <is>
          <t>가온 or 분말 혼합</t>
        </is>
      </c>
      <c r="P215" s="34" t="inlineStr">
        <is>
          <t>거품 풍성·비교적 순함</t>
        </is>
      </c>
      <c r="Q215" s="34" t="inlineStr">
        <is>
          <t>—</t>
        </is>
      </c>
      <c r="R215" s="34" t="inlineStr">
        <is>
          <t>약간 건조</t>
        </is>
      </c>
      <c r="S215" s="34" t="inlineStr">
        <is>
          <t>배스밤 5~15% / 세정 5~10%</t>
        </is>
      </c>
      <c r="T215" s="34" t="inlineStr">
        <is>
          <t>pH 5~7</t>
        </is>
      </c>
      <c r="U215" s="34" t="inlineStr">
        <is>
          <t>★ 분진 → 마스크(재채기). 'SLS'와 이름 비슷하지만 다른 성분</t>
        </is>
      </c>
      <c r="V215" s="34" t="inlineStr">
        <is>
          <t>₩10,000/250g</t>
        </is>
      </c>
      <c r="W215" s="37" t="inlineStr">
        <is>
          <t>★★★☆☆</t>
        </is>
      </c>
      <c r="X215" s="34" t="inlineStr">
        <is>
          <t>방습</t>
        </is>
      </c>
      <c r="Y215" s="34" t="inlineStr">
        <is>
          <t>제한 없음</t>
        </is>
      </c>
      <c r="Z215" s="34" t="inlineStr">
        <is>
          <t>이름 비슷한 성분 구분</t>
        </is>
      </c>
      <c r="AA215" s="34" t="inlineStr">
        <is>
          <t>SLES·SCI</t>
        </is>
      </c>
      <c r="AB215" s="34" t="inlineStr">
        <is>
          <t>배스밤·고체 샴푸 거품용</t>
        </is>
      </c>
      <c r="AC215" s="34" t="inlineStr">
        <is>
          <t>—</t>
        </is>
      </c>
      <c r="AD215" s="34" t="inlineStr">
        <is>
          <t>허브누리</t>
        </is>
      </c>
      <c r="AE215" s="38" t="n"/>
      <c r="AF215" s="39" t="n"/>
      <c r="AG215" s="38" t="n"/>
    </row>
    <row r="216" ht="92" customHeight="1">
      <c r="A216" s="73" t="n">
        <v>212</v>
      </c>
      <c r="B216" s="74" t="inlineStr">
        <is>
          <t>실리카</t>
        </is>
      </c>
      <c r="C216" s="34" t="inlineStr">
        <is>
          <t>Silica</t>
        </is>
      </c>
      <c r="D216" s="37" t="inlineStr">
        <is>
          <t>–</t>
        </is>
      </c>
      <c r="E216" s="75" t="inlineStr">
        <is>
          <t>분말</t>
        </is>
      </c>
      <c r="F216" s="34" t="inlineStr">
        <is>
          <t>피지 흡착·소프트포커스·보송</t>
        </is>
      </c>
      <c r="G216" s="34" t="inlineStr">
        <is>
          <t>광물/합성</t>
        </is>
      </c>
      <c r="H216" s="34" t="inlineStr">
        <is>
          <t>규산나트륨</t>
        </is>
      </c>
      <c r="I216" s="34" t="inlineStr">
        <is>
          <t>산 침전 or 퓸드 → 구형 가공</t>
        </is>
      </c>
      <c r="J216" s="34" t="inlineStr">
        <is>
          <t>이산화규소(비정질)</t>
        </is>
      </c>
      <c r="K216" s="34" t="inlineStr">
        <is>
          <t>분말</t>
        </is>
      </c>
      <c r="L216" s="34" t="inlineStr">
        <is>
          <t>백색</t>
        </is>
      </c>
      <c r="M216" s="34" t="inlineStr">
        <is>
          <t>무취</t>
        </is>
      </c>
      <c r="N216" s="34" t="inlineStr">
        <is>
          <t>불용(분산)</t>
        </is>
      </c>
      <c r="O216" s="34" t="inlineStr">
        <is>
          <t>냉각상 or 유상 분산</t>
        </is>
      </c>
      <c r="P216" s="34" t="inlineStr">
        <is>
          <t>보송·매트</t>
        </is>
      </c>
      <c r="Q216" s="34" t="inlineStr">
        <is>
          <t>미끄러운 구형</t>
        </is>
      </c>
      <c r="R216" s="34" t="inlineStr">
        <is>
          <t>매트</t>
        </is>
      </c>
      <c r="S216" s="34" t="inlineStr">
        <is>
          <t>1~5%</t>
        </is>
      </c>
      <c r="T216" s="34" t="inlineStr">
        <is>
          <t>안정</t>
        </is>
      </c>
      <c r="U216" s="34" t="inlineStr">
        <is>
          <t>흡입 주의(마스크). 구형이 감촉 최고</t>
        </is>
      </c>
      <c r="V216" s="34" t="inlineStr">
        <is>
          <t>₩15,000/100g</t>
        </is>
      </c>
      <c r="W216" s="37" t="inlineStr">
        <is>
          <t>★★★☆☆</t>
        </is>
      </c>
      <c r="X216" s="34" t="inlineStr">
        <is>
          <t>방습</t>
        </is>
      </c>
      <c r="Y216" s="34" t="inlineStr">
        <is>
          <t>제한 없음</t>
        </is>
      </c>
      <c r="Z216" s="34" t="inlineStr">
        <is>
          <t>—</t>
        </is>
      </c>
      <c r="AA216" s="34" t="inlineStr">
        <is>
          <t>타피오카전분·보론나이트라이드</t>
        </is>
      </c>
      <c r="AB216" s="34" t="inlineStr">
        <is>
          <t>매트·보송 마무리 레버</t>
        </is>
      </c>
      <c r="AC216" s="34" t="inlineStr">
        <is>
          <t>(구매 시) 크림 1% 섞어 번들거림 비교</t>
        </is>
      </c>
      <c r="AD216" s="34" t="inlineStr">
        <is>
          <t>기본</t>
        </is>
      </c>
      <c r="AE216" s="38" t="n"/>
      <c r="AF216" s="39" t="n"/>
      <c r="AG216" s="38" t="n"/>
    </row>
    <row r="217" ht="92" customHeight="1">
      <c r="A217" s="73" t="n">
        <v>213</v>
      </c>
      <c r="B217" s="74" t="inlineStr">
        <is>
          <t>타피오카전분</t>
        </is>
      </c>
      <c r="C217" s="34" t="inlineStr">
        <is>
          <t>Tapioca Starch</t>
        </is>
      </c>
      <c r="D217" s="37" t="inlineStr">
        <is>
          <t>–</t>
        </is>
      </c>
      <c r="E217" s="75" t="inlineStr">
        <is>
          <t>분말</t>
        </is>
      </c>
      <c r="F217" s="34" t="inlineStr">
        <is>
          <t>보송·끈적임↓</t>
        </is>
      </c>
      <c r="G217" s="34" t="inlineStr">
        <is>
          <t>식물</t>
        </is>
      </c>
      <c r="H217" s="34" t="inlineStr">
        <is>
          <t>카사바 뿌리</t>
        </is>
      </c>
      <c r="I217" s="34" t="inlineStr">
        <is>
          <t>분쇄 → 전분 분리 → 건조</t>
        </is>
      </c>
      <c r="J217" s="34" t="inlineStr">
        <is>
          <t>다당류(전분)</t>
        </is>
      </c>
      <c r="K217" s="34" t="inlineStr">
        <is>
          <t>분말</t>
        </is>
      </c>
      <c r="L217" s="34" t="inlineStr">
        <is>
          <t>백색</t>
        </is>
      </c>
      <c r="M217" s="34" t="inlineStr">
        <is>
          <t>무취</t>
        </is>
      </c>
      <c r="N217" s="34" t="inlineStr">
        <is>
          <t>냉수 불용</t>
        </is>
      </c>
      <c r="O217" s="34" t="inlineStr">
        <is>
          <t>유상/냉각상 분산</t>
        </is>
      </c>
      <c r="P217" s="34" t="inlineStr">
        <is>
          <t>보송·부드러움</t>
        </is>
      </c>
      <c r="Q217" s="34" t="inlineStr">
        <is>
          <t>—</t>
        </is>
      </c>
      <c r="R217" s="34" t="inlineStr">
        <is>
          <t>파우더리</t>
        </is>
      </c>
      <c r="S217" s="34" t="inlineStr">
        <is>
          <t>1~5%</t>
        </is>
      </c>
      <c r="T217" s="34" t="inlineStr">
        <is>
          <t>미생물 영양 → 방부 신경</t>
        </is>
      </c>
      <c r="U217" s="34" t="inlineStr">
        <is>
          <t>오일 많은 밤에 넣으면 기름짐↓</t>
        </is>
      </c>
      <c r="V217" s="34" t="inlineStr">
        <is>
          <t>₩3,000/200g</t>
        </is>
      </c>
      <c r="W217" s="37" t="inlineStr">
        <is>
          <t>★★★★★</t>
        </is>
      </c>
      <c r="X217" s="34" t="inlineStr">
        <is>
          <t>방습</t>
        </is>
      </c>
      <c r="Y217" s="34" t="inlineStr">
        <is>
          <t>제한 없음</t>
        </is>
      </c>
      <c r="Z217" s="34" t="inlineStr">
        <is>
          <t>—</t>
        </is>
      </c>
      <c r="AA217" s="34" t="inlineStr">
        <is>
          <t>실리카·옥수수전분</t>
        </is>
      </c>
      <c r="AB217" s="34" t="inlineStr">
        <is>
          <t>실리카의 천연·저가 대체</t>
        </is>
      </c>
      <c r="AC217" s="34" t="inlineStr">
        <is>
          <t>시어버터 밤에 전분 0/5% → 기름짐 비교</t>
        </is>
      </c>
      <c r="AD217" s="34" t="inlineStr">
        <is>
          <t>기본</t>
        </is>
      </c>
      <c r="AE217" s="38" t="n"/>
      <c r="AF217" s="39" t="n"/>
      <c r="AG217" s="38" t="n"/>
    </row>
    <row r="218" ht="92" customHeight="1">
      <c r="A218" s="73" t="n">
        <v>214</v>
      </c>
      <c r="B218" s="74" t="inlineStr">
        <is>
          <t>카올린</t>
        </is>
      </c>
      <c r="C218" s="34" t="inlineStr">
        <is>
          <t>Kaolin</t>
        </is>
      </c>
      <c r="D218" s="37" t="inlineStr">
        <is>
          <t>–</t>
        </is>
      </c>
      <c r="E218" s="75" t="inlineStr">
        <is>
          <t>분말</t>
        </is>
      </c>
      <c r="F218" s="34" t="inlineStr">
        <is>
          <t>흡착(팩)·불투명</t>
        </is>
      </c>
      <c r="G218" s="34" t="inlineStr">
        <is>
          <t>광물</t>
        </is>
      </c>
      <c r="H218" s="34" t="inlineStr">
        <is>
          <t>고령토 광산</t>
        </is>
      </c>
      <c r="I218" s="34" t="inlineStr">
        <is>
          <t>채굴 → 수비(물로 분리) → 건조 → 멸균</t>
        </is>
      </c>
      <c r="J218" s="34" t="inlineStr">
        <is>
          <t>함수 규산알루미늄 점토</t>
        </is>
      </c>
      <c r="K218" s="34" t="inlineStr">
        <is>
          <t>분말</t>
        </is>
      </c>
      <c r="L218" s="34" t="inlineStr">
        <is>
          <t>백색~회백</t>
        </is>
      </c>
      <c r="M218" s="34" t="inlineStr">
        <is>
          <t>흙냄새</t>
        </is>
      </c>
      <c r="N218" s="34" t="inlineStr">
        <is>
          <t>불용</t>
        </is>
      </c>
      <c r="O218" s="34" t="inlineStr">
        <is>
          <t>수상 분산</t>
        </is>
      </c>
      <c r="P218" s="34" t="inlineStr">
        <is>
          <t>매트·당김</t>
        </is>
      </c>
      <c r="Q218" s="34" t="inlineStr">
        <is>
          <t>—</t>
        </is>
      </c>
      <c r="R218" s="34" t="inlineStr">
        <is>
          <t>매트</t>
        </is>
      </c>
      <c r="S218" s="34" t="inlineStr">
        <is>
          <t>팩 10~30%</t>
        </is>
      </c>
      <c r="T218" s="34" t="inlineStr">
        <is>
          <t>안정</t>
        </is>
      </c>
      <c r="U218" s="34" t="inlineStr">
        <is>
          <t>미생물·중금속 관리 원료 → 멸균품 구매</t>
        </is>
      </c>
      <c r="V218" s="34" t="inlineStr">
        <is>
          <t>₩5,000/200g</t>
        </is>
      </c>
      <c r="W218" s="37" t="inlineStr">
        <is>
          <t>★★★★☆</t>
        </is>
      </c>
      <c r="X218" s="34" t="inlineStr">
        <is>
          <t>방습</t>
        </is>
      </c>
      <c r="Y218" s="34" t="inlineStr">
        <is>
          <t>제한 없음 / 안전기준: 점토 원료 분말 제품 납 50µg/g 이하</t>
        </is>
      </c>
      <c r="Z218" s="34" t="inlineStr">
        <is>
          <t>비의도적 검출 허용한도(납 등) 개념</t>
        </is>
      </c>
      <c r="AA218" s="34" t="inlineStr">
        <is>
          <t>벤토나이트·실리카</t>
        </is>
      </c>
      <c r="AB218" s="34" t="inlineStr">
        <is>
          <t>워시오프 팩 기본</t>
        </is>
      </c>
      <c r="AC218" s="34" t="inlineStr">
        <is>
          <t>카올린 vs 벤토나이트 물에 풀어 질감 비교</t>
        </is>
      </c>
      <c r="AD218" s="34" t="inlineStr">
        <is>
          <t>기본</t>
        </is>
      </c>
      <c r="AE218" s="38" t="n"/>
      <c r="AF218" s="39" t="n"/>
      <c r="AG218" s="38" t="n"/>
    </row>
    <row r="219" ht="92" customHeight="1">
      <c r="A219" s="73" t="n">
        <v>215</v>
      </c>
      <c r="B219" s="74" t="inlineStr">
        <is>
          <t>벤토나이트</t>
        </is>
      </c>
      <c r="C219" s="34" t="inlineStr">
        <is>
          <t>Bentonite</t>
        </is>
      </c>
      <c r="D219" s="37" t="inlineStr">
        <is>
          <t>–</t>
        </is>
      </c>
      <c r="E219" s="75" t="inlineStr">
        <is>
          <t>분말</t>
        </is>
      </c>
      <c r="F219" s="34" t="inlineStr">
        <is>
          <t>흡착·팽윤(팩)</t>
        </is>
      </c>
      <c r="G219" s="34" t="inlineStr">
        <is>
          <t>광물</t>
        </is>
      </c>
      <c r="H219" s="34" t="inlineStr">
        <is>
          <t>화산재 풍화 점토(몬모릴로나이트)</t>
        </is>
      </c>
      <c r="I219" s="34" t="inlineStr">
        <is>
          <t>채굴 → 건조·분쇄·정제</t>
        </is>
      </c>
      <c r="J219" s="34" t="inlineStr">
        <is>
          <t>팽윤성 점토</t>
        </is>
      </c>
      <c r="K219" s="34" t="inlineStr">
        <is>
          <t>분말</t>
        </is>
      </c>
      <c r="L219" s="34" t="inlineStr">
        <is>
          <t>회녹~베이지</t>
        </is>
      </c>
      <c r="M219" s="34" t="inlineStr">
        <is>
          <t>흙냄새</t>
        </is>
      </c>
      <c r="N219" s="34" t="inlineStr">
        <is>
          <t>물에 팽윤</t>
        </is>
      </c>
      <c r="O219" s="34" t="inlineStr">
        <is>
          <t>수상 분산</t>
        </is>
      </c>
      <c r="P219" s="34" t="inlineStr">
        <is>
          <t>당김·매트(팩)</t>
        </is>
      </c>
      <c r="Q219" s="34" t="inlineStr">
        <is>
          <t>—</t>
        </is>
      </c>
      <c r="R219" s="34" t="inlineStr">
        <is>
          <t>매트</t>
        </is>
      </c>
      <c r="S219" s="34" t="inlineStr">
        <is>
          <t>팩 5~20%</t>
        </is>
      </c>
      <c r="T219" s="34" t="inlineStr">
        <is>
          <t>pH 9~10(알칼리)</t>
        </is>
      </c>
      <c r="U219" s="34" t="inlineStr">
        <is>
          <t>물 흡수 커서 카올린보다 끈적한 페이스트</t>
        </is>
      </c>
      <c r="V219" s="34" t="inlineStr">
        <is>
          <t>₩5,000/200g</t>
        </is>
      </c>
      <c r="W219" s="37" t="inlineStr">
        <is>
          <t>★★★★☆</t>
        </is>
      </c>
      <c r="X219" s="34" t="inlineStr">
        <is>
          <t>방습</t>
        </is>
      </c>
      <c r="Y219" s="34" t="inlineStr">
        <is>
          <t>제한 없음 / 점토 원료 납 기준</t>
        </is>
      </c>
      <c r="Z219" s="34" t="inlineStr">
        <is>
          <t>—</t>
        </is>
      </c>
      <c r="AA219" s="34" t="inlineStr">
        <is>
          <t>카올린·Veegum</t>
        </is>
      </c>
      <c r="AB219" s="34" t="inlineStr">
        <is>
          <t>흡착력 강한 지성 팩. 건성엔 카올린</t>
        </is>
      </c>
      <c r="AC219" s="34" t="inlineStr">
        <is>
          <t>카올린 vs 벤토나이트 같은 물에 풀어 끈기 비교</t>
        </is>
      </c>
      <c r="AD219" s="34" t="inlineStr">
        <is>
          <t>도감 기능성</t>
        </is>
      </c>
      <c r="AE219" s="38" t="n"/>
      <c r="AF219" s="39" t="n"/>
      <c r="AG219" s="38" t="n"/>
    </row>
    <row r="220" ht="92" customHeight="1">
      <c r="A220" s="73" t="n">
        <v>216</v>
      </c>
      <c r="B220" s="74" t="inlineStr">
        <is>
          <t>보론나이트라이드</t>
        </is>
      </c>
      <c r="C220" s="34" t="inlineStr">
        <is>
          <t>Boron Nitride</t>
        </is>
      </c>
      <c r="D220" s="37" t="inlineStr">
        <is>
          <t>–</t>
        </is>
      </c>
      <c r="E220" s="75" t="inlineStr">
        <is>
          <t>분말</t>
        </is>
      </c>
      <c r="F220" s="34" t="inlineStr">
        <is>
          <t>고급 슬립·소프트포커스</t>
        </is>
      </c>
      <c r="G220" s="34" t="inlineStr">
        <is>
          <t>합성</t>
        </is>
      </c>
      <c r="H220" s="34" t="inlineStr">
        <is>
          <t>붕소 + 질소</t>
        </is>
      </c>
      <c r="I220" s="34" t="inlineStr">
        <is>
          <t>고온 합성 → 판상 분말</t>
        </is>
      </c>
      <c r="J220" s="34" t="inlineStr">
        <is>
          <t>무기 질화물</t>
        </is>
      </c>
      <c r="K220" s="34" t="inlineStr">
        <is>
          <t>분말</t>
        </is>
      </c>
      <c r="L220" s="34" t="inlineStr">
        <is>
          <t>백색</t>
        </is>
      </c>
      <c r="M220" s="34" t="inlineStr">
        <is>
          <t>무취</t>
        </is>
      </c>
      <c r="N220" s="34" t="inlineStr">
        <is>
          <t>불용</t>
        </is>
      </c>
      <c r="O220" s="34" t="inlineStr">
        <is>
          <t>냉각상/유상</t>
        </is>
      </c>
      <c r="P220" s="34" t="inlineStr">
        <is>
          <t>실키·매끄러움</t>
        </is>
      </c>
      <c r="Q220" s="34" t="inlineStr">
        <is>
          <t>최상</t>
        </is>
      </c>
      <c r="R220" s="34" t="inlineStr">
        <is>
          <t>보송·윤광</t>
        </is>
      </c>
      <c r="S220" s="34" t="inlineStr">
        <is>
          <t>1~10%</t>
        </is>
      </c>
      <c r="T220" s="34" t="inlineStr">
        <is>
          <t>안정</t>
        </is>
      </c>
      <c r="U220" s="34" t="inlineStr">
        <is>
          <t>파운데이션·프라이머 고급 감촉</t>
        </is>
      </c>
      <c r="V220" s="34" t="inlineStr">
        <is>
          <t>₩40,000/50g</t>
        </is>
      </c>
      <c r="W220" s="37" t="inlineStr">
        <is>
          <t>★☆☆☆☆</t>
        </is>
      </c>
      <c r="X220" s="34" t="inlineStr">
        <is>
          <t>방습</t>
        </is>
      </c>
      <c r="Y220" s="34" t="inlineStr">
        <is>
          <t>제한 없음</t>
        </is>
      </c>
      <c r="Z220" s="34" t="inlineStr">
        <is>
          <t>—</t>
        </is>
      </c>
      <c r="AA220" s="34" t="inlineStr">
        <is>
          <t>실리카·마이카</t>
        </is>
      </c>
      <c r="AB220" s="34" t="inlineStr">
        <is>
          <t>'실크 파우더' 감촉 최고급</t>
        </is>
      </c>
      <c r="AC220" s="34" t="inlineStr">
        <is>
          <t>—</t>
        </is>
      </c>
      <c r="AD220" s="34" t="inlineStr">
        <is>
          <t>도감 기능성</t>
        </is>
      </c>
      <c r="AE220" s="38" t="n"/>
      <c r="AF220" s="39" t="n"/>
      <c r="AG220" s="38" t="n"/>
    </row>
    <row r="221" ht="92" customHeight="1">
      <c r="A221" s="73" t="n">
        <v>217</v>
      </c>
      <c r="B221" s="74" t="inlineStr">
        <is>
          <t>사해소금/핑크소금</t>
        </is>
      </c>
      <c r="C221" s="34" t="inlineStr">
        <is>
          <t>Maris Sal / Sodium Chloride</t>
        </is>
      </c>
      <c r="D221" s="37" t="inlineStr">
        <is>
          <t>–</t>
        </is>
      </c>
      <c r="E221" s="75" t="inlineStr">
        <is>
          <t>분말</t>
        </is>
      </c>
      <c r="F221" s="34" t="inlineStr">
        <is>
          <t>스크럽·배스·점도(세정제)</t>
        </is>
      </c>
      <c r="G221" s="34" t="inlineStr">
        <is>
          <t>광물</t>
        </is>
      </c>
      <c r="H221" s="34" t="inlineStr">
        <is>
          <t>사해·암염(히말라야)</t>
        </is>
      </c>
      <c r="I221" s="34" t="inlineStr">
        <is>
          <t>증발·채굴 → 분쇄·세척</t>
        </is>
      </c>
      <c r="J221" s="34" t="inlineStr">
        <is>
          <t>무기염(Na·Mg·K)</t>
        </is>
      </c>
      <c r="K221" s="34" t="inlineStr">
        <is>
          <t>결정</t>
        </is>
      </c>
      <c r="L221" s="34" t="inlineStr">
        <is>
          <t>백색/분홍</t>
        </is>
      </c>
      <c r="M221" s="34" t="inlineStr">
        <is>
          <t>무취</t>
        </is>
      </c>
      <c r="N221" s="34" t="inlineStr">
        <is>
          <t>수용성</t>
        </is>
      </c>
      <c r="O221" s="34" t="inlineStr">
        <is>
          <t>—</t>
        </is>
      </c>
      <c r="P221" s="34" t="inlineStr">
        <is>
          <t>까끌(스크럽)</t>
        </is>
      </c>
      <c r="Q221" s="34" t="inlineStr">
        <is>
          <t>—</t>
        </is>
      </c>
      <c r="R221" s="34" t="inlineStr">
        <is>
          <t>—</t>
        </is>
      </c>
      <c r="S221" s="34" t="inlineStr">
        <is>
          <t>스크럽 30~70% / 세정 점도 0.5~2%</t>
        </is>
      </c>
      <c r="T221" s="34" t="inlineStr">
        <is>
          <t>—</t>
        </is>
      </c>
      <c r="U221" s="34" t="inlineStr">
        <is>
          <t>★ 전해질 → 카보머·HA·유화 붕괴. 세정제엔 점도↑(소금 커브)</t>
        </is>
      </c>
      <c r="V221" s="34" t="inlineStr">
        <is>
          <t>₩5,000/500g</t>
        </is>
      </c>
      <c r="W221" s="37" t="inlineStr">
        <is>
          <t>★★★★★</t>
        </is>
      </c>
      <c r="X221" s="34" t="inlineStr">
        <is>
          <t>방습</t>
        </is>
      </c>
      <c r="Y221" s="34" t="inlineStr">
        <is>
          <t>제한 없음</t>
        </is>
      </c>
      <c r="Z221" s="34" t="inlineStr">
        <is>
          <t>—</t>
        </is>
      </c>
      <c r="AA221" s="34" t="inlineStr">
        <is>
          <t>설탕(스크럽)·베이킹소다</t>
        </is>
      </c>
      <c r="AB221" s="34" t="inlineStr">
        <is>
          <t>바디 스크럽·배스솔트. 스킨케어 젤엔 금지</t>
        </is>
      </c>
      <c r="AC221" s="34" t="inlineStr">
        <is>
          <t>SLES+CAPB 베이스에 소금 0.5%씩 → 점도 올라갔다 다시 떨어지는 '소금 커브'</t>
        </is>
      </c>
      <c r="AD221" s="34" t="inlineStr">
        <is>
          <t>허브누리</t>
        </is>
      </c>
      <c r="AE221" s="38" t="n"/>
      <c r="AF221" s="39" t="n"/>
      <c r="AG221" s="38" t="n"/>
    </row>
    <row r="222" ht="92" customHeight="1">
      <c r="A222" s="73" t="n">
        <v>218</v>
      </c>
      <c r="B222" s="74" t="inlineStr">
        <is>
          <t>옥수수전분</t>
        </is>
      </c>
      <c r="C222" s="34" t="inlineStr">
        <is>
          <t>Zea Mays Starch</t>
        </is>
      </c>
      <c r="D222" s="37" t="inlineStr">
        <is>
          <t>–</t>
        </is>
      </c>
      <c r="E222" s="75" t="inlineStr">
        <is>
          <t>분말</t>
        </is>
      </c>
      <c r="F222" s="34" t="inlineStr">
        <is>
          <t>보송·기름짐↓</t>
        </is>
      </c>
      <c r="G222" s="34" t="inlineStr">
        <is>
          <t>식물</t>
        </is>
      </c>
      <c r="H222" s="34" t="inlineStr">
        <is>
          <t>옥수수</t>
        </is>
      </c>
      <c r="I222" s="34" t="inlineStr">
        <is>
          <t>습식 분쇄 → 전분 분리 → 건조</t>
        </is>
      </c>
      <c r="J222" s="34" t="inlineStr">
        <is>
          <t>다당류(전분)</t>
        </is>
      </c>
      <c r="K222" s="34" t="inlineStr">
        <is>
          <t>분말</t>
        </is>
      </c>
      <c r="L222" s="34" t="inlineStr">
        <is>
          <t>백색</t>
        </is>
      </c>
      <c r="M222" s="34" t="inlineStr">
        <is>
          <t>무취</t>
        </is>
      </c>
      <c r="N222" s="34" t="inlineStr">
        <is>
          <t>냉수 불용</t>
        </is>
      </c>
      <c r="O222" s="34" t="inlineStr">
        <is>
          <t>유상/냉각상</t>
        </is>
      </c>
      <c r="P222" s="34" t="inlineStr">
        <is>
          <t>보송</t>
        </is>
      </c>
      <c r="Q222" s="34" t="inlineStr">
        <is>
          <t>—</t>
        </is>
      </c>
      <c r="R222" s="34" t="inlineStr">
        <is>
          <t>파우더리</t>
        </is>
      </c>
      <c r="S222" s="34" t="inlineStr">
        <is>
          <t>1~10%</t>
        </is>
      </c>
      <c r="T222" s="34" t="inlineStr">
        <is>
          <t>미생물 영양</t>
        </is>
      </c>
      <c r="U222" s="34" t="inlineStr">
        <is>
          <t>타피오카보다 저렴, 약간 덜 매끈</t>
        </is>
      </c>
      <c r="V222" s="34" t="inlineStr">
        <is>
          <t>₩3,000/400g</t>
        </is>
      </c>
      <c r="W222" s="37" t="inlineStr">
        <is>
          <t>★★★★★</t>
        </is>
      </c>
      <c r="X222" s="34" t="inlineStr">
        <is>
          <t>방습</t>
        </is>
      </c>
      <c r="Y222" s="34" t="inlineStr">
        <is>
          <t>제한 없음</t>
        </is>
      </c>
      <c r="Z222" s="34" t="inlineStr">
        <is>
          <t>—</t>
        </is>
      </c>
      <c r="AA222" s="34" t="inlineStr">
        <is>
          <t>타피오카전분·실리카</t>
        </is>
      </c>
      <c r="AB222" s="34" t="inlineStr">
        <is>
          <t>밤·데오도런트 보송감</t>
        </is>
      </c>
      <c r="AC222" s="34" t="inlineStr">
        <is>
          <t>—</t>
        </is>
      </c>
      <c r="AD222" s="34" t="inlineStr">
        <is>
          <t>허브누리</t>
        </is>
      </c>
      <c r="AE222" s="38" t="n"/>
      <c r="AF222" s="39" t="n"/>
      <c r="AG222" s="38" t="n"/>
    </row>
    <row r="223" ht="92" customHeight="1">
      <c r="A223" s="76" t="n">
        <v>219</v>
      </c>
      <c r="B223" s="77" t="inlineStr">
        <is>
          <t>마이카</t>
        </is>
      </c>
      <c r="C223" s="34" t="inlineStr">
        <is>
          <t>Mica</t>
        </is>
      </c>
      <c r="D223" s="37" t="inlineStr">
        <is>
          <t>–</t>
        </is>
      </c>
      <c r="E223" s="78" t="inlineStr">
        <is>
          <t>색소</t>
        </is>
      </c>
      <c r="F223" s="34" t="inlineStr">
        <is>
          <t>펄·광택·소프트포커스</t>
        </is>
      </c>
      <c r="G223" s="34" t="inlineStr">
        <is>
          <t>광물</t>
        </is>
      </c>
      <c r="H223" s="34" t="inlineStr">
        <is>
          <t>운모 광석</t>
        </is>
      </c>
      <c r="I223" s="34" t="inlineStr">
        <is>
          <t>채굴 → 박리·분쇄·분급(+산화철·TiO₂ 코팅=펄)</t>
        </is>
      </c>
      <c r="J223" s="34" t="inlineStr">
        <is>
          <t>규산염 광물</t>
        </is>
      </c>
      <c r="K223" s="34" t="inlineStr">
        <is>
          <t>분말</t>
        </is>
      </c>
      <c r="L223" s="34" t="inlineStr">
        <is>
          <t>백색~펄</t>
        </is>
      </c>
      <c r="M223" s="34" t="inlineStr">
        <is>
          <t>무취</t>
        </is>
      </c>
      <c r="N223" s="34" t="inlineStr">
        <is>
          <t>불용</t>
        </is>
      </c>
      <c r="O223" s="34" t="inlineStr">
        <is>
          <t>유상/수상 분산</t>
        </is>
      </c>
      <c r="P223" s="34" t="inlineStr">
        <is>
          <t>매끄러움·반짝임</t>
        </is>
      </c>
      <c r="Q223" s="34" t="inlineStr">
        <is>
          <t>좋음</t>
        </is>
      </c>
      <c r="R223" s="34" t="inlineStr">
        <is>
          <t>펄·광택</t>
        </is>
      </c>
      <c r="S223" s="34" t="inlineStr">
        <is>
          <t>1~20%</t>
        </is>
      </c>
      <c r="T223" s="34" t="inlineStr">
        <is>
          <t>안정</t>
        </is>
      </c>
      <c r="U223" s="34" t="inlineStr">
        <is>
          <t>★ 천연 마이카 아동노동 채굴 이슈 → 윤리 소싱 or 합성(Synthetic Fluorphlogopite)</t>
        </is>
      </c>
      <c r="V223" s="34" t="inlineStr">
        <is>
          <t>₩5,000/50g</t>
        </is>
      </c>
      <c r="W223" s="37" t="inlineStr">
        <is>
          <t>★★★★☆</t>
        </is>
      </c>
      <c r="X223" s="34" t="inlineStr">
        <is>
          <t>방습</t>
        </is>
      </c>
      <c r="Y223" s="34" t="inlineStr">
        <is>
          <t>색소·원료 규격 확인</t>
        </is>
      </c>
      <c r="Z223" s="34" t="inlineStr">
        <is>
          <t>—</t>
        </is>
      </c>
      <c r="AA223" s="34" t="inlineStr">
        <is>
          <t>합성 플루오르플로고파이트·실리카</t>
        </is>
      </c>
      <c r="AB223" s="34" t="inlineStr">
        <is>
          <t>펄·광채 표현. 소싱 윤리 체크</t>
        </is>
      </c>
      <c r="AC223" s="34" t="inlineStr">
        <is>
          <t>—</t>
        </is>
      </c>
      <c r="AD223" s="34" t="inlineStr">
        <is>
          <t>도감 기능성</t>
        </is>
      </c>
      <c r="AE223" s="38" t="n"/>
      <c r="AF223" s="39" t="n"/>
      <c r="AG223" s="38" t="n"/>
    </row>
    <row r="224" ht="92" customHeight="1">
      <c r="A224" s="76" t="n">
        <v>220</v>
      </c>
      <c r="B224" s="77" t="inlineStr">
        <is>
          <t>산화철</t>
        </is>
      </c>
      <c r="C224" s="34" t="inlineStr">
        <is>
          <t>Iron Oxides (CI 77491/77492/77499)</t>
        </is>
      </c>
      <c r="D224" s="37" t="inlineStr">
        <is>
          <t>–</t>
        </is>
      </c>
      <c r="E224" s="78" t="inlineStr">
        <is>
          <t>색소</t>
        </is>
      </c>
      <c r="F224" s="34" t="inlineStr">
        <is>
          <t>살색·톤 보정 색</t>
        </is>
      </c>
      <c r="G224" s="34" t="inlineStr">
        <is>
          <t>광물/합성</t>
        </is>
      </c>
      <c r="H224" s="34" t="inlineStr">
        <is>
          <t>철</t>
        </is>
      </c>
      <c r="I224" s="34" t="inlineStr">
        <is>
          <t>합성 침전 → 소성(빨강·노랑·검정)</t>
        </is>
      </c>
      <c r="J224" s="34" t="inlineStr">
        <is>
          <t>무기 안료</t>
        </is>
      </c>
      <c r="K224" s="34" t="inlineStr">
        <is>
          <t>분말</t>
        </is>
      </c>
      <c r="L224" s="34" t="inlineStr">
        <is>
          <t>적·황·흑</t>
        </is>
      </c>
      <c r="M224" s="34" t="inlineStr">
        <is>
          <t>무취</t>
        </is>
      </c>
      <c r="N224" s="34" t="inlineStr">
        <is>
          <t>불용(분산)</t>
        </is>
      </c>
      <c r="O224" s="34" t="inlineStr">
        <is>
          <t>유상 분산(고전단)</t>
        </is>
      </c>
      <c r="P224" s="34" t="inlineStr">
        <is>
          <t>—</t>
        </is>
      </c>
      <c r="Q224" s="34" t="inlineStr">
        <is>
          <t>—</t>
        </is>
      </c>
      <c r="R224" s="34" t="inlineStr">
        <is>
          <t>색</t>
        </is>
      </c>
      <c r="S224" s="34" t="inlineStr">
        <is>
          <t>0.1~5%</t>
        </is>
      </c>
      <c r="T224" s="34" t="inlineStr">
        <is>
          <t>매우 안정</t>
        </is>
      </c>
      <c r="U224" s="34" t="inlineStr">
        <is>
          <t>3색 조합으로 피부톤 → 비비·컨실러</t>
        </is>
      </c>
      <c r="V224" s="34" t="inlineStr">
        <is>
          <t>₩5,000/30g</t>
        </is>
      </c>
      <c r="W224" s="37" t="inlineStr">
        <is>
          <t>★★★☆☆</t>
        </is>
      </c>
      <c r="X224" s="34" t="inlineStr">
        <is>
          <t>방습</t>
        </is>
      </c>
      <c r="Y224" s="34" t="inlineStr">
        <is>
          <t>★ 화장품 색소 고시(사용 가능 색소 목록·CI 번호)</t>
        </is>
      </c>
      <c r="Z224" s="34" t="inlineStr">
        <is>
          <t>★ 색소 = 허용 목록에 있는 것만</t>
        </is>
      </c>
      <c r="AA224" s="34" t="inlineStr">
        <is>
          <t>티타늄디옥사이드·마이카</t>
        </is>
      </c>
      <c r="AB224" s="34" t="inlineStr">
        <is>
          <t>색조 입문 안료</t>
        </is>
      </c>
      <c r="AC224" s="34" t="inlineStr">
        <is>
          <t>빨/노/검 비율로 내 피부색 맞추기</t>
        </is>
      </c>
      <c r="AD224" s="34" t="inlineStr">
        <is>
          <t>허브누리</t>
        </is>
      </c>
      <c r="AE224" s="38" t="n"/>
      <c r="AF224" s="39" t="n"/>
      <c r="AG224" s="38" t="n"/>
    </row>
    <row r="225" ht="92" customHeight="1">
      <c r="A225" s="76" t="n">
        <v>221</v>
      </c>
      <c r="B225" s="77" t="inlineStr">
        <is>
          <t>실버펄</t>
        </is>
      </c>
      <c r="C225" s="34" t="inlineStr">
        <is>
          <t>Mica, Titanium Dioxide (CI 77019, CI 77891) — (주석산화물 포함 여부 TDS 확인)</t>
        </is>
      </c>
      <c r="D225" s="37" t="inlineStr">
        <is>
          <t>–</t>
        </is>
      </c>
      <c r="E225" s="78" t="inlineStr">
        <is>
          <t>색소</t>
        </is>
      </c>
      <c r="F225" s="34" t="inlineStr">
        <is>
          <t>은은한 펄·광택</t>
        </is>
      </c>
      <c r="G225" s="34" t="inlineStr">
        <is>
          <t>광물</t>
        </is>
      </c>
      <c r="H225" s="34" t="inlineStr">
        <is>
          <t>천연/합성 마이카 + 이산화티타늄 코팅</t>
        </is>
      </c>
      <c r="I225" s="34" t="inlineStr">
        <is>
          <t>마이카 판상 입자에 TiO₂ 박막 코팅 → 빛 간섭으로 은빛</t>
        </is>
      </c>
      <c r="J225" s="34" t="inlineStr">
        <is>
          <t>무기 펄 안료</t>
        </is>
      </c>
      <c r="K225" s="34" t="inlineStr">
        <is>
          <t>분말</t>
        </is>
      </c>
      <c r="L225" s="34" t="inlineStr">
        <is>
          <t>은백 펄</t>
        </is>
      </c>
      <c r="M225" s="34" t="inlineStr">
        <is>
          <t>무취</t>
        </is>
      </c>
      <c r="N225" s="34" t="inlineStr">
        <is>
          <t>불용(분산)</t>
        </is>
      </c>
      <c r="O225" s="34" t="inlineStr">
        <is>
          <t>어느 상이든, 마지막 분산</t>
        </is>
      </c>
      <c r="P225" s="34" t="inlineStr">
        <is>
          <t>살짝 반짝, 고%면 가루감</t>
        </is>
      </c>
      <c r="Q225" s="34" t="inlineStr">
        <is>
          <t>—</t>
        </is>
      </c>
      <c r="R225" s="34" t="inlineStr">
        <is>
          <t>펄 남음</t>
        </is>
      </c>
      <c r="S225" s="34" t="inlineStr">
        <is>
          <t>립·샤워젤 0.1~2%</t>
        </is>
      </c>
      <c r="T225" s="34" t="inlineStr">
        <is>
          <t>안정</t>
        </is>
      </c>
      <c r="U225" s="34" t="inlineStr">
        <is>
          <t>★ 투명 젤·세정제에 펄 띄우려면 점도(현탁) 필요 — 가라앉음. 입자 크기(µm)로 반짝임 결정</t>
        </is>
      </c>
      <c r="V225" s="34" t="inlineStr">
        <is>
          <t>₩5,000/30g</t>
        </is>
      </c>
      <c r="W225" s="37" t="inlineStr">
        <is>
          <t>★★★★★</t>
        </is>
      </c>
      <c r="X225" s="34" t="inlineStr">
        <is>
          <t>방습</t>
        </is>
      </c>
      <c r="Y225" s="34" t="inlineStr">
        <is>
          <t>식약처 '화장품의 색소' 기준 — CI 77019·77891 사용 가능(용도 확인). 분말 흡입 주의</t>
        </is>
      </c>
      <c r="Z225" s="34" t="inlineStr">
        <is>
          <t>색소 기준 확인 연습</t>
        </is>
      </c>
      <c r="AA225" s="34" t="inlineStr">
        <is>
          <t>마이카·티타늄디옥사이드</t>
        </is>
      </c>
      <c r="AB225" s="34" t="inlineStr">
        <is>
          <t>마이카 = 베이스, 실버펄 = 코팅된 효과 안료</t>
        </is>
      </c>
      <c r="AC225" s="34" t="inlineStr">
        <is>
          <t>샤워젤(잔탄 0.5%)에 펄 0.2% — 하루 뒤 가라앉는지</t>
        </is>
      </c>
      <c r="AD225" s="34" t="inlineStr">
        <is>
          <t>허브누리</t>
        </is>
      </c>
      <c r="AE225" s="38" t="n"/>
      <c r="AF225" s="39" t="n"/>
      <c r="AG225" s="38" t="n"/>
    </row>
    <row r="226" ht="92" customHeight="1">
      <c r="A226" s="79" t="n">
        <v>222</v>
      </c>
      <c r="B226" s="80" t="inlineStr">
        <is>
          <t>징크옥사이드</t>
        </is>
      </c>
      <c r="C226" s="34" t="inlineStr">
        <is>
          <t>Zinc Oxide</t>
        </is>
      </c>
      <c r="D226" s="37" t="inlineStr">
        <is>
          <t>–</t>
        </is>
      </c>
      <c r="E226" s="81" t="inlineStr">
        <is>
          <t>자외선</t>
        </is>
      </c>
      <c r="F226" s="34" t="inlineStr">
        <is>
          <t>UVA·UVB 물리 차단·진정</t>
        </is>
      </c>
      <c r="G226" s="34" t="inlineStr">
        <is>
          <t>광물/합성</t>
        </is>
      </c>
      <c r="H226" s="34" t="inlineStr">
        <is>
          <t>아연</t>
        </is>
      </c>
      <c r="I226" s="34" t="inlineStr">
        <is>
          <t>아연 증기 산화(프렌치법) → 코팅·입도 조절</t>
        </is>
      </c>
      <c r="J226" s="34" t="inlineStr">
        <is>
          <t>무기 금속산화물</t>
        </is>
      </c>
      <c r="K226" s="34" t="inlineStr">
        <is>
          <t>분말</t>
        </is>
      </c>
      <c r="L226" s="34" t="inlineStr">
        <is>
          <t>백색</t>
        </is>
      </c>
      <c r="M226" s="34" t="inlineStr">
        <is>
          <t>무취</t>
        </is>
      </c>
      <c r="N226" s="34" t="inlineStr">
        <is>
          <t>불용(분산)</t>
        </is>
      </c>
      <c r="O226" s="34" t="inlineStr">
        <is>
          <t>유상 분산(고전단)</t>
        </is>
      </c>
      <c r="P226" s="34" t="inlineStr">
        <is>
          <t>백탁·뻑뻑</t>
        </is>
      </c>
      <c r="Q226" s="34" t="inlineStr">
        <is>
          <t>뻑뻑</t>
        </is>
      </c>
      <c r="R226" s="34" t="inlineStr">
        <is>
          <t>백탁·매트</t>
        </is>
      </c>
      <c r="S226" s="34" t="inlineStr">
        <is>
          <t>~25%</t>
        </is>
      </c>
      <c r="T226" s="34" t="inlineStr">
        <is>
          <t>분산 안정이 핵심</t>
        </is>
      </c>
      <c r="U226" s="34" t="inlineStr">
        <is>
          <t>나노 입자는 EU [nano] 표기. 기능성 보고 필요</t>
        </is>
      </c>
      <c r="V226" s="34" t="inlineStr">
        <is>
          <t>₩10,000/100g</t>
        </is>
      </c>
      <c r="W226" s="37" t="inlineStr">
        <is>
          <t>★★★☆☆</t>
        </is>
      </c>
      <c r="X226" s="34" t="inlineStr">
        <is>
          <t>방습</t>
        </is>
      </c>
      <c r="Y226" s="34" t="inlineStr">
        <is>
          <t>★ 자외선차단 고시 25%</t>
        </is>
      </c>
      <c r="Z226" s="34" t="inlineStr">
        <is>
          <t>★ 자외선 차단 고시 성분·한도</t>
        </is>
      </c>
      <c r="AA226" s="34" t="inlineStr">
        <is>
          <t>티타늄디옥사이드</t>
        </is>
      </c>
      <c r="AB226" s="34" t="inlineStr">
        <is>
          <t>가장 넓은 차단 범위. 백탁 관리가 기술</t>
        </is>
      </c>
      <c r="AC226" s="34" t="inlineStr">
        <is>
          <t>—(선크림은 기능성 보고 대상 → OEM 영역)</t>
        </is>
      </c>
      <c r="AD226" s="34" t="inlineStr">
        <is>
          <t>기본</t>
        </is>
      </c>
      <c r="AE226" s="38" t="n"/>
      <c r="AF226" s="39" t="n"/>
      <c r="AG226" s="38" t="n"/>
    </row>
    <row r="227" ht="92" customHeight="1">
      <c r="A227" s="79" t="n">
        <v>223</v>
      </c>
      <c r="B227" s="80" t="inlineStr">
        <is>
          <t>티타늄디옥사이드</t>
        </is>
      </c>
      <c r="C227" s="34" t="inlineStr">
        <is>
          <t>Titanium Dioxide</t>
        </is>
      </c>
      <c r="D227" s="37" t="inlineStr">
        <is>
          <t>–</t>
        </is>
      </c>
      <c r="E227" s="81" t="inlineStr">
        <is>
          <t>자외선</t>
        </is>
      </c>
      <c r="F227" s="34" t="inlineStr">
        <is>
          <t>UVB 차단·백색 안료</t>
        </is>
      </c>
      <c r="G227" s="34" t="inlineStr">
        <is>
          <t>광물</t>
        </is>
      </c>
      <c r="H227" s="34" t="inlineStr">
        <is>
          <t>일메나이트/루틸 광석</t>
        </is>
      </c>
      <c r="I227" s="34" t="inlineStr">
        <is>
          <t>황산법/염소법 정제 → 코팅</t>
        </is>
      </c>
      <c r="J227" s="34" t="inlineStr">
        <is>
          <t>무기 금속산화물</t>
        </is>
      </c>
      <c r="K227" s="34" t="inlineStr">
        <is>
          <t>분말</t>
        </is>
      </c>
      <c r="L227" s="34" t="inlineStr">
        <is>
          <t>백색</t>
        </is>
      </c>
      <c r="M227" s="34" t="inlineStr">
        <is>
          <t>무취</t>
        </is>
      </c>
      <c r="N227" s="34" t="inlineStr">
        <is>
          <t>불용</t>
        </is>
      </c>
      <c r="O227" s="34" t="inlineStr">
        <is>
          <t>유상 분산</t>
        </is>
      </c>
      <c r="P227" s="34" t="inlineStr">
        <is>
          <t>백탁 강함</t>
        </is>
      </c>
      <c r="Q227" s="34" t="inlineStr">
        <is>
          <t>뻑뻑</t>
        </is>
      </c>
      <c r="R227" s="34" t="inlineStr">
        <is>
          <t>백탁</t>
        </is>
      </c>
      <c r="S227" s="34" t="inlineStr">
        <is>
          <t>~25%</t>
        </is>
      </c>
      <c r="T227" s="34" t="inlineStr">
        <is>
          <t>광촉매 → 코팅 필요</t>
        </is>
      </c>
      <c r="U227" s="34" t="inlineStr">
        <is>
          <t>EU: 흡입 가능 분말·스프레이 제한 이슈</t>
        </is>
      </c>
      <c r="V227" s="34" t="inlineStr">
        <is>
          <t>₩10,000/100g</t>
        </is>
      </c>
      <c r="W227" s="37" t="inlineStr">
        <is>
          <t>★★★☆☆</t>
        </is>
      </c>
      <c r="X227" s="34" t="inlineStr">
        <is>
          <t>방습</t>
        </is>
      </c>
      <c r="Y227" s="34" t="inlineStr">
        <is>
          <t>★ 자외선차단 고시 25% / 색소로도 사용</t>
        </is>
      </c>
      <c r="Z227" s="34" t="inlineStr">
        <is>
          <t>자외선 + 색소 이중</t>
        </is>
      </c>
      <c r="AA227" s="34" t="inlineStr">
        <is>
          <t>징크옥사이드</t>
        </is>
      </c>
      <c r="AB227" s="34" t="inlineStr">
        <is>
          <t>UVB 위주. 징크와 혼용</t>
        </is>
      </c>
      <c r="AC227" s="34" t="inlineStr">
        <is>
          <t>—</t>
        </is>
      </c>
      <c r="AD227" s="34" t="inlineStr">
        <is>
          <t>기본</t>
        </is>
      </c>
      <c r="AE227" s="38" t="n"/>
      <c r="AF227" s="39" t="n"/>
      <c r="AG227" s="38" t="n"/>
    </row>
    <row r="228" ht="92" customHeight="1">
      <c r="A228" s="79" t="n">
        <v>224</v>
      </c>
      <c r="B228" s="80" t="inlineStr">
        <is>
          <t>에칠헥실메톡시신나메이트(EHMC)</t>
        </is>
      </c>
      <c r="C228" s="34" t="inlineStr">
        <is>
          <t>Ethylhexyl Methoxycinnamate</t>
        </is>
      </c>
      <c r="D228" s="37" t="inlineStr">
        <is>
          <t>–</t>
        </is>
      </c>
      <c r="E228" s="81" t="inlineStr">
        <is>
          <t>자외선</t>
        </is>
      </c>
      <c r="F228" s="34" t="inlineStr">
        <is>
          <t>UVB 유기 차단</t>
        </is>
      </c>
      <c r="G228" s="34" t="inlineStr">
        <is>
          <t>합성</t>
        </is>
      </c>
      <c r="H228" s="34" t="inlineStr">
        <is>
          <t>신남산 + 2-에틸헥산올</t>
        </is>
      </c>
      <c r="I228" s="34" t="inlineStr">
        <is>
          <t>에스터화</t>
        </is>
      </c>
      <c r="J228" s="34" t="inlineStr">
        <is>
          <t>신나메이트(유기 필터)</t>
        </is>
      </c>
      <c r="K228" s="34" t="inlineStr">
        <is>
          <t>액상</t>
        </is>
      </c>
      <c r="L228" s="34" t="inlineStr">
        <is>
          <t>연노랑</t>
        </is>
      </c>
      <c r="M228" s="34" t="inlineStr">
        <is>
          <t>약한 냄새</t>
        </is>
      </c>
      <c r="N228" s="34" t="inlineStr">
        <is>
          <t>유용성</t>
        </is>
      </c>
      <c r="O228" s="34" t="inlineStr">
        <is>
          <t>B상</t>
        </is>
      </c>
      <c r="P228" s="34" t="inlineStr">
        <is>
          <t>유분감</t>
        </is>
      </c>
      <c r="Q228" s="34" t="inlineStr">
        <is>
          <t>좋음</t>
        </is>
      </c>
      <c r="R228" s="34" t="inlineStr">
        <is>
          <t>약간 번들</t>
        </is>
      </c>
      <c r="S228" s="34" t="inlineStr">
        <is>
          <t>~7.5%(고시)</t>
        </is>
      </c>
      <c r="T228" s="34" t="inlineStr">
        <is>
          <t>광분해 → 안정화 필요</t>
        </is>
      </c>
      <c r="U228" s="34" t="inlineStr">
        <is>
          <t>★ 하와이: 옥티녹세이트(EHMC) 판매 금지(산호) → 수출 체크. 허브누리 '시너메이트'</t>
        </is>
      </c>
      <c r="V228" s="34" t="inlineStr">
        <is>
          <t>₩10,000/100g</t>
        </is>
      </c>
      <c r="W228" s="37" t="inlineStr">
        <is>
          <t>★★☆☆☆</t>
        </is>
      </c>
      <c r="X228" s="34" t="inlineStr">
        <is>
          <t>차광</t>
        </is>
      </c>
      <c r="Y228" s="34" t="inlineStr">
        <is>
          <t>★ 자외선차단 고시 7.5%</t>
        </is>
      </c>
      <c r="Z228" s="34" t="inlineStr">
        <is>
          <t>★ 자외선 고시 성분 한도</t>
        </is>
      </c>
      <c r="AA228" s="34" t="inlineStr">
        <is>
          <t>티노소브S·징크옥사이드</t>
        </is>
      </c>
      <c r="AB228" s="34" t="inlineStr">
        <is>
          <t>저가 UVB 필터. 수출·환경 리스크</t>
        </is>
      </c>
      <c r="AC228" s="34" t="inlineStr">
        <is>
          <t>—</t>
        </is>
      </c>
      <c r="AD228" s="34" t="inlineStr">
        <is>
          <t>도감 기능성</t>
        </is>
      </c>
      <c r="AE228" s="38" t="n"/>
      <c r="AF228" s="39" t="n"/>
      <c r="AG228" s="38" t="n"/>
    </row>
    <row r="229" ht="92" customHeight="1">
      <c r="A229" s="79" t="n">
        <v>225</v>
      </c>
      <c r="B229" s="80" t="inlineStr">
        <is>
          <t>티노소브 S</t>
        </is>
      </c>
      <c r="C229" s="34" t="inlineStr">
        <is>
          <t>Bis-Ethylhexyloxyphenol Methoxyphenyl Triazine</t>
        </is>
      </c>
      <c r="D229" s="37" t="inlineStr">
        <is>
          <t>–</t>
        </is>
      </c>
      <c r="E229" s="81" t="inlineStr">
        <is>
          <t>자외선</t>
        </is>
      </c>
      <c r="F229" s="34" t="inlineStr">
        <is>
          <t>UVA+UVB 광안정 차단</t>
        </is>
      </c>
      <c r="G229" s="34" t="inlineStr">
        <is>
          <t>합성</t>
        </is>
      </c>
      <c r="H229" s="34" t="inlineStr">
        <is>
          <t>트리아진 합성</t>
        </is>
      </c>
      <c r="I229" s="34" t="inlineStr">
        <is>
          <t>유기 합성 → 분말</t>
        </is>
      </c>
      <c r="J229" s="34" t="inlineStr">
        <is>
          <t>트리아진 필터</t>
        </is>
      </c>
      <c r="K229" s="34" t="inlineStr">
        <is>
          <t>분말</t>
        </is>
      </c>
      <c r="L229" s="34" t="inlineStr">
        <is>
          <t>연노랑</t>
        </is>
      </c>
      <c r="M229" s="34" t="inlineStr">
        <is>
          <t>무취</t>
        </is>
      </c>
      <c r="N229" s="34" t="inlineStr">
        <is>
          <t>유용성(에스터에 용해)</t>
        </is>
      </c>
      <c r="O229" s="34" t="inlineStr">
        <is>
          <t>B상 가온 용해</t>
        </is>
      </c>
      <c r="P229" s="34" t="inlineStr">
        <is>
          <t>—</t>
        </is>
      </c>
      <c r="Q229" s="34" t="inlineStr">
        <is>
          <t>—</t>
        </is>
      </c>
      <c r="R229" s="34" t="inlineStr">
        <is>
          <t>—</t>
        </is>
      </c>
      <c r="S229" s="34" t="inlineStr">
        <is>
          <t>~10%(고시)</t>
        </is>
      </c>
      <c r="T229" s="34" t="inlineStr">
        <is>
          <t>매우 광안정, 다른 필터 안정화</t>
        </is>
      </c>
      <c r="U229" s="34" t="inlineStr">
        <is>
          <t>★ 미국 FDA 미승인 → 미국 수출 선크림엔 불가</t>
        </is>
      </c>
      <c r="V229" s="34" t="inlineStr">
        <is>
          <t>₩50,000~/100g</t>
        </is>
      </c>
      <c r="W229" s="37" t="inlineStr">
        <is>
          <t>★☆☆☆☆</t>
        </is>
      </c>
      <c r="X229" s="34" t="inlineStr">
        <is>
          <t>차광</t>
        </is>
      </c>
      <c r="Y229" s="34" t="inlineStr">
        <is>
          <t>★ 자외선차단 고시 10%</t>
        </is>
      </c>
      <c r="Z229" s="34" t="inlineStr">
        <is>
          <t>자외선 고시 성분</t>
        </is>
      </c>
      <c r="AA229" s="34" t="inlineStr">
        <is>
          <t>EHMC·징크옥사이드</t>
        </is>
      </c>
      <c r="AB229" s="34" t="inlineStr">
        <is>
          <t>EU·아시아 고급 선크림 핵심. 미국 X</t>
        </is>
      </c>
      <c r="AC229" s="34" t="inlineStr">
        <is>
          <t>—</t>
        </is>
      </c>
      <c r="AD229" s="34" t="inlineStr">
        <is>
          <t>도감 기능성</t>
        </is>
      </c>
      <c r="AE229" s="38" t="n"/>
      <c r="AF229" s="39" t="n"/>
      <c r="AG229" s="38" t="n"/>
    </row>
    <row r="230" ht="92" customHeight="1">
      <c r="A230" s="82" t="n">
        <v>226</v>
      </c>
      <c r="B230" s="83" t="inlineStr">
        <is>
          <t>라벤더에센셜오일</t>
        </is>
      </c>
      <c r="C230" s="34" t="inlineStr">
        <is>
          <t>Lavandula Angustifolia Oil</t>
        </is>
      </c>
      <c r="D230" s="37" t="inlineStr">
        <is>
          <t>–</t>
        </is>
      </c>
      <c r="E230" s="84" t="inlineStr">
        <is>
          <t>향</t>
        </is>
      </c>
      <c r="F230" s="34" t="inlineStr">
        <is>
          <t>향·심리 소구</t>
        </is>
      </c>
      <c r="G230" s="34" t="inlineStr">
        <is>
          <t>식물</t>
        </is>
      </c>
      <c r="H230" s="34" t="inlineStr">
        <is>
          <t>라벤더 꽃</t>
        </is>
      </c>
      <c r="I230" s="34" t="inlineStr">
        <is>
          <t>수증기 증류</t>
        </is>
      </c>
      <c r="J230" s="34" t="inlineStr">
        <is>
          <t>정유(리날룰·리날릴아세테이트)</t>
        </is>
      </c>
      <c r="K230" s="34" t="inlineStr">
        <is>
          <t>액상</t>
        </is>
      </c>
      <c r="L230" s="34" t="inlineStr">
        <is>
          <t>무색~연황</t>
        </is>
      </c>
      <c r="M230" s="34" t="inlineStr">
        <is>
          <t>라벤더향</t>
        </is>
      </c>
      <c r="N230" s="34" t="inlineStr">
        <is>
          <t>유용성 → 가용화 필요</t>
        </is>
      </c>
      <c r="O230" s="34" t="inlineStr">
        <is>
          <t>냉각상</t>
        </is>
      </c>
      <c r="P230" s="34" t="inlineStr">
        <is>
          <t>—</t>
        </is>
      </c>
      <c r="Q230" s="34" t="inlineStr">
        <is>
          <t>—</t>
        </is>
      </c>
      <c r="R230" s="34" t="inlineStr">
        <is>
          <t>향</t>
        </is>
      </c>
      <c r="S230" s="34" t="inlineStr">
        <is>
          <t>0.1~0.5% (얼굴)</t>
        </is>
      </c>
      <c r="T230" s="34" t="inlineStr">
        <is>
          <t>산화되면 알레르기↑</t>
        </is>
      </c>
      <c r="U230" s="34" t="inlineStr">
        <is>
          <t>★ 리날룰 등 알레르기 유발 성분 함유 → 전성분 표시. 임산부·민감 주의</t>
        </is>
      </c>
      <c r="V230" s="34" t="inlineStr">
        <is>
          <t>₩10,000~20,000/10ml</t>
        </is>
      </c>
      <c r="W230" s="37" t="inlineStr">
        <is>
          <t>★★★★★</t>
        </is>
      </c>
      <c r="X230" s="34" t="inlineStr">
        <is>
          <t>차광·서늘</t>
        </is>
      </c>
      <c r="Y230" s="34" t="inlineStr">
        <is>
          <t>★ 착향제 알레르기 유발 25종(리날룰·리모넨 등): 씻어내지 않는 제품 0.001% 초과 시 성분명 표시</t>
        </is>
      </c>
      <c r="Z230" s="34" t="inlineStr">
        <is>
          <t>★ 알레르기 유발 성분 표시 기준 빈출</t>
        </is>
      </c>
      <c r="AA230" s="34" t="inlineStr">
        <is>
          <t>합성 향료</t>
        </is>
      </c>
      <c r="AB230" s="34" t="inlineStr">
        <is>
          <t>천연 향 소구. 민감·히어로 라인은 무향</t>
        </is>
      </c>
      <c r="AC230" s="34" t="inlineStr">
        <is>
          <t>전성분에 '리날룰'이 있는 제품 찾아 라벤더 향과 연결</t>
        </is>
      </c>
      <c r="AD230" s="34" t="inlineStr">
        <is>
          <t>기본</t>
        </is>
      </c>
      <c r="AE230" s="38" t="n"/>
      <c r="AF230" s="39" t="n"/>
      <c r="AG230" s="38" t="n"/>
    </row>
    <row r="231" ht="92" customHeight="1">
      <c r="A231" s="82" t="n">
        <v>227</v>
      </c>
      <c r="B231" s="83" t="inlineStr">
        <is>
          <t>레몬에센셜오일</t>
        </is>
      </c>
      <c r="C231" s="34" t="inlineStr">
        <is>
          <t>Citrus Limon Peel Oil</t>
        </is>
      </c>
      <c r="D231" s="37" t="inlineStr">
        <is>
          <t>–</t>
        </is>
      </c>
      <c r="E231" s="84" t="inlineStr">
        <is>
          <t>향</t>
        </is>
      </c>
      <c r="F231" s="34" t="inlineStr">
        <is>
          <t>상큼한 탑노트</t>
        </is>
      </c>
      <c r="G231" s="34" t="inlineStr">
        <is>
          <t>식물</t>
        </is>
      </c>
      <c r="H231" s="34" t="inlineStr">
        <is>
          <t>레몬 껍질</t>
        </is>
      </c>
      <c r="I231" s="34" t="inlineStr">
        <is>
          <t>냉압착</t>
        </is>
      </c>
      <c r="J231" s="34" t="inlineStr">
        <is>
          <t>정유(리모넨 60%↑)</t>
        </is>
      </c>
      <c r="K231" s="34" t="inlineStr">
        <is>
          <t>액상</t>
        </is>
      </c>
      <c r="L231" s="34" t="inlineStr">
        <is>
          <t>연노랑</t>
        </is>
      </c>
      <c r="M231" s="34" t="inlineStr">
        <is>
          <t>상큼 레몬</t>
        </is>
      </c>
      <c r="N231" s="34" t="inlineStr">
        <is>
          <t>유용성</t>
        </is>
      </c>
      <c r="O231" s="34" t="inlineStr">
        <is>
          <t>냉각상(가용화)</t>
        </is>
      </c>
      <c r="P231" s="34" t="inlineStr">
        <is>
          <t>—</t>
        </is>
      </c>
      <c r="Q231" s="34" t="inlineStr">
        <is>
          <t>—</t>
        </is>
      </c>
      <c r="R231" s="34" t="inlineStr">
        <is>
          <t>향</t>
        </is>
      </c>
      <c r="S231" s="34" t="inlineStr">
        <is>
          <t>0.1~0.5%</t>
        </is>
      </c>
      <c r="T231" s="34" t="inlineStr">
        <is>
          <t>★ 산화 빠름</t>
        </is>
      </c>
      <c r="U231" s="34" t="inlineStr">
        <is>
          <t>★ 광독성(퓨로쿠마린) → 바르고 햇빛 X, 리브온 저농도. 리모넨=알레르기 표시</t>
        </is>
      </c>
      <c r="V231" s="34" t="inlineStr">
        <is>
          <t>₩8,000/10ml</t>
        </is>
      </c>
      <c r="W231" s="37" t="inlineStr">
        <is>
          <t>★★★★★</t>
        </is>
      </c>
      <c r="X231" s="34" t="inlineStr">
        <is>
          <t>냉장·차광</t>
        </is>
      </c>
      <c r="Y231" s="34" t="inlineStr">
        <is>
          <t>★ 리모넨·시트랄 알레르기 표시 대상</t>
        </is>
      </c>
      <c r="Z231" s="34" t="inlineStr">
        <is>
          <t>★ 광독성·알레르기 성분</t>
        </is>
      </c>
      <c r="AA231" s="34" t="inlineStr">
        <is>
          <t>버가못FCF·만다린</t>
        </is>
      </c>
      <c r="AB231" s="34" t="inlineStr">
        <is>
          <t>워시오프엔 무난, 리브온은 주의</t>
        </is>
      </c>
      <c r="AC231" s="34" t="inlineStr">
        <is>
          <t>—</t>
        </is>
      </c>
      <c r="AD231" s="34" t="inlineStr">
        <is>
          <t>허브누리</t>
        </is>
      </c>
      <c r="AE231" s="38" t="n"/>
      <c r="AF231" s="39" t="n"/>
      <c r="AG231" s="38" t="n"/>
    </row>
    <row r="232" ht="92" customHeight="1">
      <c r="A232" s="82" t="n">
        <v>228</v>
      </c>
      <c r="B232" s="83" t="inlineStr">
        <is>
          <t>버가못FCF 에센셜오일</t>
        </is>
      </c>
      <c r="C232" s="34" t="inlineStr">
        <is>
          <t>Citrus Bergamia Peel Oil (Furocoumarin-Free)</t>
        </is>
      </c>
      <c r="D232" s="37" t="inlineStr">
        <is>
          <t>–</t>
        </is>
      </c>
      <c r="E232" s="84" t="inlineStr">
        <is>
          <t>향</t>
        </is>
      </c>
      <c r="F232" s="34" t="inlineStr">
        <is>
          <t>시트러스 플로럴 탑노트</t>
        </is>
      </c>
      <c r="G232" s="34" t="inlineStr">
        <is>
          <t>식물</t>
        </is>
      </c>
      <c r="H232" s="34" t="inlineStr">
        <is>
          <t>버가못 껍질</t>
        </is>
      </c>
      <c r="I232" s="34" t="inlineStr">
        <is>
          <t>냉압착 → 퓨로쿠마린(버갑텐) 제거</t>
        </is>
      </c>
      <c r="J232" s="34" t="inlineStr">
        <is>
          <t>정유(리모넨·리날릴아세테이트)</t>
        </is>
      </c>
      <c r="K232" s="34" t="inlineStr">
        <is>
          <t>액상</t>
        </is>
      </c>
      <c r="L232" s="34" t="inlineStr">
        <is>
          <t>연녹~황</t>
        </is>
      </c>
      <c r="M232" s="34" t="inlineStr">
        <is>
          <t>얼그레이 향</t>
        </is>
      </c>
      <c r="N232" s="34" t="inlineStr">
        <is>
          <t>유용성</t>
        </is>
      </c>
      <c r="O232" s="34" t="inlineStr">
        <is>
          <t>냉각상</t>
        </is>
      </c>
      <c r="P232" s="34" t="inlineStr">
        <is>
          <t>—</t>
        </is>
      </c>
      <c r="Q232" s="34" t="inlineStr">
        <is>
          <t>—</t>
        </is>
      </c>
      <c r="R232" s="34" t="inlineStr">
        <is>
          <t>향</t>
        </is>
      </c>
      <c r="S232" s="34" t="inlineStr">
        <is>
          <t>0.1~0.5%</t>
        </is>
      </c>
      <c r="T232" s="34" t="inlineStr">
        <is>
          <t>산화 주의</t>
        </is>
      </c>
      <c r="U232" s="34" t="inlineStr">
        <is>
          <t>FCF = 광독성 성분 제거판(리브온용)</t>
        </is>
      </c>
      <c r="V232" s="34" t="inlineStr">
        <is>
          <t>₩15,000/10ml</t>
        </is>
      </c>
      <c r="W232" s="37" t="inlineStr">
        <is>
          <t>★★★★☆</t>
        </is>
      </c>
      <c r="X232" s="34" t="inlineStr">
        <is>
          <t>냉장·차광</t>
        </is>
      </c>
      <c r="Y232" s="34" t="inlineStr">
        <is>
          <t>리모넨·리날룰 표시 대상</t>
        </is>
      </c>
      <c r="Z232" s="34" t="inlineStr">
        <is>
          <t>FCF 의미</t>
        </is>
      </c>
      <c r="AA232" s="34" t="inlineStr">
        <is>
          <t>레몬EO·만다린</t>
        </is>
      </c>
      <c r="AB232" s="34" t="inlineStr">
        <is>
          <t>리브온에 시트러스 원하면 FCF</t>
        </is>
      </c>
      <c r="AC232" s="34" t="inlineStr">
        <is>
          <t>—</t>
        </is>
      </c>
      <c r="AD232" s="34" t="inlineStr">
        <is>
          <t>허브누리</t>
        </is>
      </c>
      <c r="AE232" s="38" t="n"/>
      <c r="AF232" s="39" t="n"/>
      <c r="AG232" s="38" t="n"/>
    </row>
    <row r="233" ht="92" customHeight="1">
      <c r="A233" s="82" t="n">
        <v>229</v>
      </c>
      <c r="B233" s="83" t="inlineStr">
        <is>
          <t>만다린에센셜오일</t>
        </is>
      </c>
      <c r="C233" s="34" t="inlineStr">
        <is>
          <t>Citrus Nobilis Peel Oil</t>
        </is>
      </c>
      <c r="D233" s="37" t="inlineStr">
        <is>
          <t>–</t>
        </is>
      </c>
      <c r="E233" s="84" t="inlineStr">
        <is>
          <t>향</t>
        </is>
      </c>
      <c r="F233" s="34" t="inlineStr">
        <is>
          <t>달콤한 시트러스</t>
        </is>
      </c>
      <c r="G233" s="34" t="inlineStr">
        <is>
          <t>식물</t>
        </is>
      </c>
      <c r="H233" s="34" t="inlineStr">
        <is>
          <t>만다린 껍질</t>
        </is>
      </c>
      <c r="I233" s="34" t="inlineStr">
        <is>
          <t>냉압착</t>
        </is>
      </c>
      <c r="J233" s="34" t="inlineStr">
        <is>
          <t>정유(리모넨)</t>
        </is>
      </c>
      <c r="K233" s="34" t="inlineStr">
        <is>
          <t>액상</t>
        </is>
      </c>
      <c r="L233" s="34" t="inlineStr">
        <is>
          <t>주황</t>
        </is>
      </c>
      <c r="M233" s="34" t="inlineStr">
        <is>
          <t>달콤 귤향</t>
        </is>
      </c>
      <c r="N233" s="34" t="inlineStr">
        <is>
          <t>유용성</t>
        </is>
      </c>
      <c r="O233" s="34" t="inlineStr">
        <is>
          <t>냉각상</t>
        </is>
      </c>
      <c r="P233" s="34" t="inlineStr">
        <is>
          <t>—</t>
        </is>
      </c>
      <c r="Q233" s="34" t="inlineStr">
        <is>
          <t>—</t>
        </is>
      </c>
      <c r="R233" s="34" t="inlineStr">
        <is>
          <t>향</t>
        </is>
      </c>
      <c r="S233" s="34" t="inlineStr">
        <is>
          <t>0.1~0.5%</t>
        </is>
      </c>
      <c r="T233" s="34" t="inlineStr">
        <is>
          <t>산화 주의</t>
        </is>
      </c>
      <c r="U233" s="34" t="inlineStr">
        <is>
          <t>광독성 낮은 편</t>
        </is>
      </c>
      <c r="V233" s="34" t="inlineStr">
        <is>
          <t>₩10,000/10ml</t>
        </is>
      </c>
      <c r="W233" s="37" t="inlineStr">
        <is>
          <t>★★★★☆</t>
        </is>
      </c>
      <c r="X233" s="34" t="inlineStr">
        <is>
          <t>냉장·차광</t>
        </is>
      </c>
      <c r="Y233" s="34" t="inlineStr">
        <is>
          <t>리모넨 표시 대상</t>
        </is>
      </c>
      <c r="Z233" s="34" t="inlineStr">
        <is>
          <t>—</t>
        </is>
      </c>
      <c r="AA233" s="34" t="inlineStr">
        <is>
          <t>스윗오렌지·레몬</t>
        </is>
      </c>
      <c r="AB233" s="34" t="inlineStr">
        <is>
          <t>아이·민감용 시트러스</t>
        </is>
      </c>
      <c r="AC233" s="34" t="inlineStr">
        <is>
          <t>—</t>
        </is>
      </c>
      <c r="AD233" s="34" t="inlineStr">
        <is>
          <t>허브누리</t>
        </is>
      </c>
      <c r="AE233" s="38" t="n"/>
      <c r="AF233" s="39" t="n"/>
      <c r="AG233" s="38" t="n"/>
    </row>
    <row r="234" ht="92" customHeight="1">
      <c r="A234" s="82" t="n">
        <v>230</v>
      </c>
      <c r="B234" s="83" t="inlineStr">
        <is>
          <t>스윗오렌지에센셜오일</t>
        </is>
      </c>
      <c r="C234" s="34" t="inlineStr">
        <is>
          <t>Citrus Aurantium Dulcis Peel Oil</t>
        </is>
      </c>
      <c r="D234" s="37" t="inlineStr">
        <is>
          <t>–</t>
        </is>
      </c>
      <c r="E234" s="84" t="inlineStr">
        <is>
          <t>향</t>
        </is>
      </c>
      <c r="F234" s="34" t="inlineStr">
        <is>
          <t>대중적 시트러스</t>
        </is>
      </c>
      <c r="G234" s="34" t="inlineStr">
        <is>
          <t>식물</t>
        </is>
      </c>
      <c r="H234" s="34" t="inlineStr">
        <is>
          <t>오렌지 껍질</t>
        </is>
      </c>
      <c r="I234" s="34" t="inlineStr">
        <is>
          <t>냉압착</t>
        </is>
      </c>
      <c r="J234" s="34" t="inlineStr">
        <is>
          <t>정유(리모넨 90%↑)</t>
        </is>
      </c>
      <c r="K234" s="34" t="inlineStr">
        <is>
          <t>액상</t>
        </is>
      </c>
      <c r="L234" s="34" t="inlineStr">
        <is>
          <t>주황</t>
        </is>
      </c>
      <c r="M234" s="34" t="inlineStr">
        <is>
          <t>오렌지향</t>
        </is>
      </c>
      <c r="N234" s="34" t="inlineStr">
        <is>
          <t>유용성</t>
        </is>
      </c>
      <c r="O234" s="34" t="inlineStr">
        <is>
          <t>냉각상</t>
        </is>
      </c>
      <c r="P234" s="34" t="inlineStr">
        <is>
          <t>—</t>
        </is>
      </c>
      <c r="Q234" s="34" t="inlineStr">
        <is>
          <t>—</t>
        </is>
      </c>
      <c r="R234" s="34" t="inlineStr">
        <is>
          <t>향</t>
        </is>
      </c>
      <c r="S234" s="34" t="inlineStr">
        <is>
          <t>0.1~0.5%</t>
        </is>
      </c>
      <c r="T234" s="34" t="inlineStr">
        <is>
          <t>★ 산화 시 알레르기↑</t>
        </is>
      </c>
      <c r="U234" s="34" t="inlineStr">
        <is>
          <t>가장 저렴한 시트러스</t>
        </is>
      </c>
      <c r="V234" s="34" t="inlineStr">
        <is>
          <t>₩6,000/10ml</t>
        </is>
      </c>
      <c r="W234" s="37" t="inlineStr">
        <is>
          <t>★★★★★</t>
        </is>
      </c>
      <c r="X234" s="34" t="inlineStr">
        <is>
          <t>냉장·차광</t>
        </is>
      </c>
      <c r="Y234" s="34" t="inlineStr">
        <is>
          <t>리모넨 표시 대상</t>
        </is>
      </c>
      <c r="Z234" s="34" t="inlineStr">
        <is>
          <t>—</t>
        </is>
      </c>
      <c r="AA234" s="34" t="inlineStr">
        <is>
          <t>만다린</t>
        </is>
      </c>
      <c r="AB234" s="34" t="inlineStr">
        <is>
          <t>저가 대중 향</t>
        </is>
      </c>
      <c r="AC234" s="34" t="inlineStr">
        <is>
          <t>—</t>
        </is>
      </c>
      <c r="AD234" s="34" t="inlineStr">
        <is>
          <t>허브누리</t>
        </is>
      </c>
      <c r="AE234" s="38" t="n"/>
      <c r="AF234" s="39" t="n"/>
      <c r="AG234" s="38" t="n"/>
    </row>
    <row r="235" ht="92" customHeight="1">
      <c r="A235" s="82" t="n">
        <v>231</v>
      </c>
      <c r="B235" s="83" t="inlineStr">
        <is>
          <t>네롤리에센셜오일</t>
        </is>
      </c>
      <c r="C235" s="34" t="inlineStr">
        <is>
          <t>Citrus Aurantium Amara Flower Oil</t>
        </is>
      </c>
      <c r="D235" s="37" t="inlineStr">
        <is>
          <t>–</t>
        </is>
      </c>
      <c r="E235" s="84" t="inlineStr">
        <is>
          <t>향</t>
        </is>
      </c>
      <c r="F235" s="34" t="inlineStr">
        <is>
          <t>고급 플로럴 미들노트</t>
        </is>
      </c>
      <c r="G235" s="34" t="inlineStr">
        <is>
          <t>식물</t>
        </is>
      </c>
      <c r="H235" s="34" t="inlineStr">
        <is>
          <t>비터오렌지 꽃</t>
        </is>
      </c>
      <c r="I235" s="34" t="inlineStr">
        <is>
          <t>수증기 증류</t>
        </is>
      </c>
      <c r="J235" s="34" t="inlineStr">
        <is>
          <t>정유(리날룰·리모넨)</t>
        </is>
      </c>
      <c r="K235" s="34" t="inlineStr">
        <is>
          <t>액상</t>
        </is>
      </c>
      <c r="L235" s="34" t="inlineStr">
        <is>
          <t>연노랑</t>
        </is>
      </c>
      <c r="M235" s="34" t="inlineStr">
        <is>
          <t>쌉쌀 달콤 꽃향</t>
        </is>
      </c>
      <c r="N235" s="34" t="inlineStr">
        <is>
          <t>유용성</t>
        </is>
      </c>
      <c r="O235" s="34" t="inlineStr">
        <is>
          <t>냉각상</t>
        </is>
      </c>
      <c r="P235" s="34" t="inlineStr">
        <is>
          <t>—</t>
        </is>
      </c>
      <c r="Q235" s="34" t="inlineStr">
        <is>
          <t>—</t>
        </is>
      </c>
      <c r="R235" s="34" t="inlineStr">
        <is>
          <t>향</t>
        </is>
      </c>
      <c r="S235" s="34" t="inlineStr">
        <is>
          <t>0.05~0.3%</t>
        </is>
      </c>
      <c r="T235" s="34" t="inlineStr">
        <is>
          <t>보통</t>
        </is>
      </c>
      <c r="U235" s="34" t="inlineStr">
        <is>
          <t>★ 고가(꽃 대량 필요)</t>
        </is>
      </c>
      <c r="V235" s="34" t="inlineStr">
        <is>
          <t>₩50,000~/5ml</t>
        </is>
      </c>
      <c r="W235" s="37" t="inlineStr">
        <is>
          <t>★★★☆☆</t>
        </is>
      </c>
      <c r="X235" s="34" t="inlineStr">
        <is>
          <t>차광</t>
        </is>
      </c>
      <c r="Y235" s="34" t="inlineStr">
        <is>
          <t>리날룰 등 표시 대상</t>
        </is>
      </c>
      <c r="Z235" s="34" t="inlineStr">
        <is>
          <t>—</t>
        </is>
      </c>
      <c r="AA235" s="34" t="inlineStr">
        <is>
          <t>네롤리워터·일랑일랑</t>
        </is>
      </c>
      <c r="AB235" s="34" t="inlineStr">
        <is>
          <t>프리미엄 플로럴</t>
        </is>
      </c>
      <c r="AC235" s="34" t="inlineStr">
        <is>
          <t>—</t>
        </is>
      </c>
      <c r="AD235" s="34" t="inlineStr">
        <is>
          <t>허브누리</t>
        </is>
      </c>
      <c r="AE235" s="38" t="n"/>
      <c r="AF235" s="39" t="n"/>
      <c r="AG235" s="38" t="n"/>
    </row>
    <row r="236" ht="92" customHeight="1">
      <c r="A236" s="82" t="n">
        <v>232</v>
      </c>
      <c r="B236" s="83" t="inlineStr">
        <is>
          <t>로즈제라늄에센셜오일</t>
        </is>
      </c>
      <c r="C236" s="34" t="inlineStr">
        <is>
          <t>Pelargonium Graveolens Oil</t>
        </is>
      </c>
      <c r="D236" s="37" t="inlineStr">
        <is>
          <t>–</t>
        </is>
      </c>
      <c r="E236" s="84" t="inlineStr">
        <is>
          <t>향</t>
        </is>
      </c>
      <c r="F236" s="34" t="inlineStr">
        <is>
          <t>로즈 대체 플로럴</t>
        </is>
      </c>
      <c r="G236" s="34" t="inlineStr">
        <is>
          <t>식물</t>
        </is>
      </c>
      <c r="H236" s="34" t="inlineStr">
        <is>
          <t>제라늄 잎·줄기</t>
        </is>
      </c>
      <c r="I236" s="34" t="inlineStr">
        <is>
          <t>수증기 증류</t>
        </is>
      </c>
      <c r="J236" s="34" t="inlineStr">
        <is>
          <t>정유(시트로넬롤·제라니올)</t>
        </is>
      </c>
      <c r="K236" s="34" t="inlineStr">
        <is>
          <t>액상</t>
        </is>
      </c>
      <c r="L236" s="34" t="inlineStr">
        <is>
          <t>연녹~황</t>
        </is>
      </c>
      <c r="M236" s="34" t="inlineStr">
        <is>
          <t>장미+풀향</t>
        </is>
      </c>
      <c r="N236" s="34" t="inlineStr">
        <is>
          <t>유용성</t>
        </is>
      </c>
      <c r="O236" s="34" t="inlineStr">
        <is>
          <t>냉각상</t>
        </is>
      </c>
      <c r="P236" s="34" t="inlineStr">
        <is>
          <t>—</t>
        </is>
      </c>
      <c r="Q236" s="34" t="inlineStr">
        <is>
          <t>—</t>
        </is>
      </c>
      <c r="R236" s="34" t="inlineStr">
        <is>
          <t>향</t>
        </is>
      </c>
      <c r="S236" s="34" t="inlineStr">
        <is>
          <t>0.1~0.5%</t>
        </is>
      </c>
      <c r="T236" s="34" t="inlineStr">
        <is>
          <t>보통</t>
        </is>
      </c>
      <c r="U236" s="34" t="inlineStr">
        <is>
          <t>시트로넬롤·제라니올 알레르기 표시</t>
        </is>
      </c>
      <c r="V236" s="34" t="inlineStr">
        <is>
          <t>₩10,000/10ml</t>
        </is>
      </c>
      <c r="W236" s="37" t="inlineStr">
        <is>
          <t>★★★★★</t>
        </is>
      </c>
      <c r="X236" s="34" t="inlineStr">
        <is>
          <t>차광</t>
        </is>
      </c>
      <c r="Y236" s="34" t="inlineStr">
        <is>
          <t>시트로넬롤·제라니올 표시 대상</t>
        </is>
      </c>
      <c r="Z236" s="34" t="inlineStr">
        <is>
          <t>—</t>
        </is>
      </c>
      <c r="AA236" s="34" t="inlineStr">
        <is>
          <t>로즈앱솔루트</t>
        </is>
      </c>
      <c r="AB236" s="34" t="inlineStr">
        <is>
          <t>장미 향을 저가로</t>
        </is>
      </c>
      <c r="AC236" s="34" t="inlineStr">
        <is>
          <t>—</t>
        </is>
      </c>
      <c r="AD236" s="34" t="inlineStr">
        <is>
          <t>허브누리</t>
        </is>
      </c>
      <c r="AE236" s="38" t="n"/>
      <c r="AF236" s="39" t="n"/>
      <c r="AG236" s="38" t="n"/>
    </row>
    <row r="237" ht="92" customHeight="1">
      <c r="A237" s="82" t="n">
        <v>233</v>
      </c>
      <c r="B237" s="83" t="inlineStr">
        <is>
          <t>일랑일랑에센셜오일</t>
        </is>
      </c>
      <c r="C237" s="34" t="inlineStr">
        <is>
          <t>Cananga Odorata Flower Oil</t>
        </is>
      </c>
      <c r="D237" s="37" t="inlineStr">
        <is>
          <t>–</t>
        </is>
      </c>
      <c r="E237" s="84" t="inlineStr">
        <is>
          <t>향</t>
        </is>
      </c>
      <c r="F237" s="34" t="inlineStr">
        <is>
          <t>진한 이국적 플로럴</t>
        </is>
      </c>
      <c r="G237" s="34" t="inlineStr">
        <is>
          <t>식물</t>
        </is>
      </c>
      <c r="H237" s="34" t="inlineStr">
        <is>
          <t>일랑일랑 꽃</t>
        </is>
      </c>
      <c r="I237" s="34" t="inlineStr">
        <is>
          <t>분별 수증기 증류(엑스트라~3등급)</t>
        </is>
      </c>
      <c r="J237" s="34" t="inlineStr">
        <is>
          <t>정유(벤질벤조에이트·리날룰 등)</t>
        </is>
      </c>
      <c r="K237" s="34" t="inlineStr">
        <is>
          <t>액상</t>
        </is>
      </c>
      <c r="L237" s="34" t="inlineStr">
        <is>
          <t>연노랑</t>
        </is>
      </c>
      <c r="M237" s="34" t="inlineStr">
        <is>
          <t>진하고 달콤</t>
        </is>
      </c>
      <c r="N237" s="34" t="inlineStr">
        <is>
          <t>유용성</t>
        </is>
      </c>
      <c r="O237" s="34" t="inlineStr">
        <is>
          <t>냉각상</t>
        </is>
      </c>
      <c r="P237" s="34" t="inlineStr">
        <is>
          <t>—</t>
        </is>
      </c>
      <c r="Q237" s="34" t="inlineStr">
        <is>
          <t>—</t>
        </is>
      </c>
      <c r="R237" s="34" t="inlineStr">
        <is>
          <t>향</t>
        </is>
      </c>
      <c r="S237" s="34" t="inlineStr">
        <is>
          <t>0.05~0.2%</t>
        </is>
      </c>
      <c r="T237" s="34" t="inlineStr">
        <is>
          <t>보통</t>
        </is>
      </c>
      <c r="U237" s="34" t="inlineStr">
        <is>
          <t>향 강함 → 소량. IFRA 사용 제한 있음</t>
        </is>
      </c>
      <c r="V237" s="34" t="inlineStr">
        <is>
          <t>₩10,000/10ml</t>
        </is>
      </c>
      <c r="W237" s="37" t="inlineStr">
        <is>
          <t>★★★★☆</t>
        </is>
      </c>
      <c r="X237" s="34" t="inlineStr">
        <is>
          <t>차광</t>
        </is>
      </c>
      <c r="Y237" s="34" t="inlineStr">
        <is>
          <t>다수 알레르기 성분 표시</t>
        </is>
      </c>
      <c r="Z237" s="34" t="inlineStr">
        <is>
          <t>—</t>
        </is>
      </c>
      <c r="AA237" s="34" t="inlineStr">
        <is>
          <t>네롤리</t>
        </is>
      </c>
      <c r="AB237" s="34" t="inlineStr">
        <is>
          <t>향수·바디 무드</t>
        </is>
      </c>
      <c r="AC237" s="34" t="inlineStr">
        <is>
          <t>—</t>
        </is>
      </c>
      <c r="AD237" s="34" t="inlineStr">
        <is>
          <t>허브누리</t>
        </is>
      </c>
      <c r="AE237" s="38" t="n"/>
      <c r="AF237" s="39" t="n"/>
      <c r="AG237" s="38" t="n"/>
    </row>
    <row r="238" ht="92" customHeight="1">
      <c r="A238" s="82" t="n">
        <v>234</v>
      </c>
      <c r="B238" s="83" t="inlineStr">
        <is>
          <t>로즈우드에센셜오일</t>
        </is>
      </c>
      <c r="C238" s="34" t="inlineStr">
        <is>
          <t>Aniba Rosaeodora Wood Oil</t>
        </is>
      </c>
      <c r="D238" s="37" t="inlineStr">
        <is>
          <t>–</t>
        </is>
      </c>
      <c r="E238" s="84" t="inlineStr">
        <is>
          <t>향</t>
        </is>
      </c>
      <c r="F238" s="34" t="inlineStr">
        <is>
          <t>부드러운 우디 플로럴</t>
        </is>
      </c>
      <c r="G238" s="34" t="inlineStr">
        <is>
          <t>식물</t>
        </is>
      </c>
      <c r="H238" s="34" t="inlineStr">
        <is>
          <t>로즈우드 나무(아마존)</t>
        </is>
      </c>
      <c r="I238" s="34" t="inlineStr">
        <is>
          <t>목재 수증기 증류</t>
        </is>
      </c>
      <c r="J238" s="34" t="inlineStr">
        <is>
          <t>정유(리날룰 80%↑)</t>
        </is>
      </c>
      <c r="K238" s="34" t="inlineStr">
        <is>
          <t>액상</t>
        </is>
      </c>
      <c r="L238" s="34" t="inlineStr">
        <is>
          <t>무색~연노랑</t>
        </is>
      </c>
      <c r="M238" s="34" t="inlineStr">
        <is>
          <t>부드러운 꽃·나무향</t>
        </is>
      </c>
      <c r="N238" s="34" t="inlineStr">
        <is>
          <t>유용성</t>
        </is>
      </c>
      <c r="O238" s="34" t="inlineStr">
        <is>
          <t>냉각상</t>
        </is>
      </c>
      <c r="P238" s="34" t="inlineStr">
        <is>
          <t>—</t>
        </is>
      </c>
      <c r="Q238" s="34" t="inlineStr">
        <is>
          <t>—</t>
        </is>
      </c>
      <c r="R238" s="34" t="inlineStr">
        <is>
          <t>향</t>
        </is>
      </c>
      <c r="S238" s="34" t="inlineStr">
        <is>
          <t>0.1~0.5%</t>
        </is>
      </c>
      <c r="T238" s="34" t="inlineStr">
        <is>
          <t>보통</t>
        </is>
      </c>
      <c r="U238" s="34" t="inlineStr">
        <is>
          <t>★ 멸종위기종(CITES) → 지속가능 소싱·호우드(Ho wood)로 대체</t>
        </is>
      </c>
      <c r="V238" s="34" t="inlineStr">
        <is>
          <t>₩20,000/10ml</t>
        </is>
      </c>
      <c r="W238" s="37" t="inlineStr">
        <is>
          <t>★★★☆☆</t>
        </is>
      </c>
      <c r="X238" s="34" t="inlineStr">
        <is>
          <t>차광</t>
        </is>
      </c>
      <c r="Y238" s="34" t="inlineStr">
        <is>
          <t>리날룰 표시 대상 / CITES 서류</t>
        </is>
      </c>
      <c r="Z238" s="34" t="inlineStr">
        <is>
          <t>원료 지속가능성</t>
        </is>
      </c>
      <c r="AA238" s="34" t="inlineStr">
        <is>
          <t>호우드·라벤더</t>
        </is>
      </c>
      <c r="AB238" s="34" t="inlineStr">
        <is>
          <t>윤리 소싱 학습 사례</t>
        </is>
      </c>
      <c r="AC238" s="34" t="inlineStr">
        <is>
          <t>—</t>
        </is>
      </c>
      <c r="AD238" s="34" t="inlineStr">
        <is>
          <t>허브누리</t>
        </is>
      </c>
      <c r="AE238" s="38" t="n"/>
      <c r="AF238" s="39" t="n"/>
      <c r="AG238" s="38" t="n"/>
    </row>
    <row r="239" ht="92" customHeight="1">
      <c r="A239" s="82" t="n">
        <v>235</v>
      </c>
      <c r="B239" s="83" t="inlineStr">
        <is>
          <t>티트리에센셜오일</t>
        </is>
      </c>
      <c r="C239" s="34" t="inlineStr">
        <is>
          <t>Melaleuca Alternifolia Leaf Oil</t>
        </is>
      </c>
      <c r="D239" s="37" t="inlineStr">
        <is>
          <t>–</t>
        </is>
      </c>
      <c r="E239" s="84" t="inlineStr">
        <is>
          <t>향</t>
        </is>
      </c>
      <c r="F239" s="34" t="inlineStr">
        <is>
          <t>약용 허브향·트러블 무드</t>
        </is>
      </c>
      <c r="G239" s="34" t="inlineStr">
        <is>
          <t>식물</t>
        </is>
      </c>
      <c r="H239" s="34" t="inlineStr">
        <is>
          <t>티트리 잎</t>
        </is>
      </c>
      <c r="I239" s="34" t="inlineStr">
        <is>
          <t>수증기 증류</t>
        </is>
      </c>
      <c r="J239" s="34" t="inlineStr">
        <is>
          <t>정유(테르피넨-4-올)</t>
        </is>
      </c>
      <c r="K239" s="34" t="inlineStr">
        <is>
          <t>액상</t>
        </is>
      </c>
      <c r="L239" s="34" t="inlineStr">
        <is>
          <t>무색~연노랑</t>
        </is>
      </c>
      <c r="M239" s="34" t="inlineStr">
        <is>
          <t>약용 허브향</t>
        </is>
      </c>
      <c r="N239" s="34" t="inlineStr">
        <is>
          <t>유용성</t>
        </is>
      </c>
      <c r="O239" s="34" t="inlineStr">
        <is>
          <t>냉각상</t>
        </is>
      </c>
      <c r="P239" s="34" t="inlineStr">
        <is>
          <t>—</t>
        </is>
      </c>
      <c r="Q239" s="34" t="inlineStr">
        <is>
          <t>—</t>
        </is>
      </c>
      <c r="R239" s="34" t="inlineStr">
        <is>
          <t>향</t>
        </is>
      </c>
      <c r="S239" s="34" t="inlineStr">
        <is>
          <t>0.1~1%</t>
        </is>
      </c>
      <c r="T239" s="34" t="inlineStr">
        <is>
          <t>★ 산화 시 알레르기↑(개봉 후 빨리)</t>
        </is>
      </c>
      <c r="U239" s="34" t="inlineStr">
        <is>
          <t>'여드름 치료' 표방 금지</t>
        </is>
      </c>
      <c r="V239" s="34" t="inlineStr">
        <is>
          <t>₩8,000/10ml</t>
        </is>
      </c>
      <c r="W239" s="37" t="inlineStr">
        <is>
          <t>★★★★★</t>
        </is>
      </c>
      <c r="X239" s="34" t="inlineStr">
        <is>
          <t>냉장·차광</t>
        </is>
      </c>
      <c r="Y239" s="34" t="inlineStr">
        <is>
          <t>리모넨 등 표시 대상</t>
        </is>
      </c>
      <c r="Z239" s="34" t="inlineStr">
        <is>
          <t>—</t>
        </is>
      </c>
      <c r="AA239" s="34" t="inlineStr">
        <is>
          <t>티트리워터·로즈마리</t>
        </is>
      </c>
      <c r="AB239" s="34" t="inlineStr">
        <is>
          <t>트러블 라인 향</t>
        </is>
      </c>
      <c r="AC239" s="34" t="inlineStr">
        <is>
          <t>—</t>
        </is>
      </c>
      <c r="AD239" s="34" t="inlineStr">
        <is>
          <t>허브누리</t>
        </is>
      </c>
      <c r="AE239" s="38" t="n"/>
      <c r="AF239" s="39" t="n"/>
      <c r="AG239" s="38" t="n"/>
    </row>
    <row r="240" ht="92" customHeight="1">
      <c r="A240" s="82" t="n">
        <v>236</v>
      </c>
      <c r="B240" s="83" t="inlineStr">
        <is>
          <t>로즈마리에센셜오일</t>
        </is>
      </c>
      <c r="C240" s="34" t="inlineStr">
        <is>
          <t>Rosmarinus Officinalis Leaf Oil</t>
        </is>
      </c>
      <c r="D240" s="37" t="inlineStr">
        <is>
          <t>–</t>
        </is>
      </c>
      <c r="E240" s="84" t="inlineStr">
        <is>
          <t>향</t>
        </is>
      </c>
      <c r="F240" s="34" t="inlineStr">
        <is>
          <t>상쾌한 허브향·두피</t>
        </is>
      </c>
      <c r="G240" s="34" t="inlineStr">
        <is>
          <t>식물</t>
        </is>
      </c>
      <c r="H240" s="34" t="inlineStr">
        <is>
          <t>로즈마리 잎</t>
        </is>
      </c>
      <c r="I240" s="34" t="inlineStr">
        <is>
          <t>수증기 증류</t>
        </is>
      </c>
      <c r="J240" s="34" t="inlineStr">
        <is>
          <t>정유(1,8-시네올·캠퍼)</t>
        </is>
      </c>
      <c r="K240" s="34" t="inlineStr">
        <is>
          <t>액상</t>
        </is>
      </c>
      <c r="L240" s="34" t="inlineStr">
        <is>
          <t>무색</t>
        </is>
      </c>
      <c r="M240" s="34" t="inlineStr">
        <is>
          <t>캠퍼성 허브</t>
        </is>
      </c>
      <c r="N240" s="34" t="inlineStr">
        <is>
          <t>유용성</t>
        </is>
      </c>
      <c r="O240" s="34" t="inlineStr">
        <is>
          <t>냉각상</t>
        </is>
      </c>
      <c r="P240" s="34" t="inlineStr">
        <is>
          <t>—</t>
        </is>
      </c>
      <c r="Q240" s="34" t="inlineStr">
        <is>
          <t>—</t>
        </is>
      </c>
      <c r="R240" s="34" t="inlineStr">
        <is>
          <t>향</t>
        </is>
      </c>
      <c r="S240" s="34" t="inlineStr">
        <is>
          <t>0.1~0.5%</t>
        </is>
      </c>
      <c r="T240" s="34" t="inlineStr">
        <is>
          <t>보통</t>
        </is>
      </c>
      <c r="U240" s="34" t="inlineStr">
        <is>
          <t>임산부·고혈압 주의 언급</t>
        </is>
      </c>
      <c r="V240" s="34" t="inlineStr">
        <is>
          <t>₩8,000/10ml</t>
        </is>
      </c>
      <c r="W240" s="37" t="inlineStr">
        <is>
          <t>★★★★☆</t>
        </is>
      </c>
      <c r="X240" s="34" t="inlineStr">
        <is>
          <t>차광</t>
        </is>
      </c>
      <c r="Y240" s="34" t="inlineStr">
        <is>
          <t>리모넨·리날룰 등 표시</t>
        </is>
      </c>
      <c r="Z240" s="34" t="inlineStr">
        <is>
          <t>—</t>
        </is>
      </c>
      <c r="AA240" s="34" t="inlineStr">
        <is>
          <t>로즈마리워터·페퍼민트</t>
        </is>
      </c>
      <c r="AB240" s="34" t="inlineStr">
        <is>
          <t>두피·헤어 향</t>
        </is>
      </c>
      <c r="AC240" s="34" t="inlineStr">
        <is>
          <t>—</t>
        </is>
      </c>
      <c r="AD240" s="34" t="inlineStr">
        <is>
          <t>허브누리</t>
        </is>
      </c>
      <c r="AE240" s="38" t="n"/>
      <c r="AF240" s="39" t="n"/>
      <c r="AG240" s="38" t="n"/>
    </row>
    <row r="241" ht="92" customHeight="1">
      <c r="A241" s="82" t="n">
        <v>237</v>
      </c>
      <c r="B241" s="83" t="inlineStr">
        <is>
          <t>로먼캐모마일에센셜오일</t>
        </is>
      </c>
      <c r="C241" s="34" t="inlineStr">
        <is>
          <t>Anthemis Nobilis Flower Oil</t>
        </is>
      </c>
      <c r="D241" s="37" t="inlineStr">
        <is>
          <t>–</t>
        </is>
      </c>
      <c r="E241" s="84" t="inlineStr">
        <is>
          <t>향</t>
        </is>
      </c>
      <c r="F241" s="34" t="inlineStr">
        <is>
          <t>부드러운 진정 무드 향</t>
        </is>
      </c>
      <c r="G241" s="34" t="inlineStr">
        <is>
          <t>식물</t>
        </is>
      </c>
      <c r="H241" s="34" t="inlineStr">
        <is>
          <t>로먼 캐모마일 꽃</t>
        </is>
      </c>
      <c r="I241" s="34" t="inlineStr">
        <is>
          <t>수증기 증류</t>
        </is>
      </c>
      <c r="J241" s="34" t="inlineStr">
        <is>
          <t>정유(에스터류)</t>
        </is>
      </c>
      <c r="K241" s="34" t="inlineStr">
        <is>
          <t>액상</t>
        </is>
      </c>
      <c r="L241" s="34" t="inlineStr">
        <is>
          <t>연청~노랑</t>
        </is>
      </c>
      <c r="M241" s="34" t="inlineStr">
        <is>
          <t>사과 같은 허브</t>
        </is>
      </c>
      <c r="N241" s="34" t="inlineStr">
        <is>
          <t>유용성</t>
        </is>
      </c>
      <c r="O241" s="34" t="inlineStr">
        <is>
          <t>냉각상</t>
        </is>
      </c>
      <c r="P241" s="34" t="inlineStr">
        <is>
          <t>—</t>
        </is>
      </c>
      <c r="Q241" s="34" t="inlineStr">
        <is>
          <t>—</t>
        </is>
      </c>
      <c r="R241" s="34" t="inlineStr">
        <is>
          <t>향</t>
        </is>
      </c>
      <c r="S241" s="34" t="inlineStr">
        <is>
          <t>0.05~0.2%</t>
        </is>
      </c>
      <c r="T241" s="34" t="inlineStr">
        <is>
          <t>보통</t>
        </is>
      </c>
      <c r="U241" s="34" t="inlineStr">
        <is>
          <t>국화과 알레르기. 고가</t>
        </is>
      </c>
      <c r="V241" s="34" t="inlineStr">
        <is>
          <t>₩40,000/5ml</t>
        </is>
      </c>
      <c r="W241" s="37" t="inlineStr">
        <is>
          <t>★★★☆☆</t>
        </is>
      </c>
      <c r="X241" s="34" t="inlineStr">
        <is>
          <t>차광</t>
        </is>
      </c>
      <c r="Y241" s="34" t="inlineStr">
        <is>
          <t>알레르기 성분 표시 확인</t>
        </is>
      </c>
      <c r="Z241" s="34" t="inlineStr">
        <is>
          <t>—</t>
        </is>
      </c>
      <c r="AA241" s="34" t="inlineStr">
        <is>
          <t>라벤더</t>
        </is>
      </c>
      <c r="AB241" s="34" t="inlineStr">
        <is>
          <t>예민 무드 향</t>
        </is>
      </c>
      <c r="AC241" s="34" t="inlineStr">
        <is>
          <t>—</t>
        </is>
      </c>
      <c r="AD241" s="34" t="inlineStr">
        <is>
          <t>허브누리</t>
        </is>
      </c>
      <c r="AE241" s="38" t="n"/>
      <c r="AF241" s="39" t="n"/>
      <c r="AG241" s="38" t="n"/>
    </row>
    <row r="242" ht="92" customHeight="1">
      <c r="A242" s="82" t="n">
        <v>238</v>
      </c>
      <c r="B242" s="83" t="inlineStr">
        <is>
          <t>페퍼민트에센셜오일</t>
        </is>
      </c>
      <c r="C242" s="34" t="inlineStr">
        <is>
          <t>Mentha Piperita Oil</t>
        </is>
      </c>
      <c r="D242" s="37" t="inlineStr">
        <is>
          <t>–</t>
        </is>
      </c>
      <c r="E242" s="84" t="inlineStr">
        <is>
          <t>향</t>
        </is>
      </c>
      <c r="F242" s="34" t="inlineStr">
        <is>
          <t>청량 쿨링</t>
        </is>
      </c>
      <c r="G242" s="34" t="inlineStr">
        <is>
          <t>식물</t>
        </is>
      </c>
      <c r="H242" s="34" t="inlineStr">
        <is>
          <t>페퍼민트 잎</t>
        </is>
      </c>
      <c r="I242" s="34" t="inlineStr">
        <is>
          <t>수증기 증류</t>
        </is>
      </c>
      <c r="J242" s="34" t="inlineStr">
        <is>
          <t>정유(멘톨·멘톤)</t>
        </is>
      </c>
      <c r="K242" s="34" t="inlineStr">
        <is>
          <t>액상</t>
        </is>
      </c>
      <c r="L242" s="34" t="inlineStr">
        <is>
          <t>무색</t>
        </is>
      </c>
      <c r="M242" s="34" t="inlineStr">
        <is>
          <t>강한 박하</t>
        </is>
      </c>
      <c r="N242" s="34" t="inlineStr">
        <is>
          <t>유용성</t>
        </is>
      </c>
      <c r="O242" s="34" t="inlineStr">
        <is>
          <t>냉각상</t>
        </is>
      </c>
      <c r="P242" s="34" t="inlineStr">
        <is>
          <t>시원·화함</t>
        </is>
      </c>
      <c r="Q242" s="34" t="inlineStr">
        <is>
          <t>—</t>
        </is>
      </c>
      <c r="R242" s="34" t="inlineStr">
        <is>
          <t>향</t>
        </is>
      </c>
      <c r="S242" s="34" t="inlineStr">
        <is>
          <t>0.1~0.5%</t>
        </is>
      </c>
      <c r="T242" s="34" t="inlineStr">
        <is>
          <t>휘발</t>
        </is>
      </c>
      <c r="U242" s="34" t="inlineStr">
        <is>
          <t>★ 눈 주위·영유아 금지</t>
        </is>
      </c>
      <c r="V242" s="34" t="inlineStr">
        <is>
          <t>₩8,000/10ml</t>
        </is>
      </c>
      <c r="W242" s="37" t="inlineStr">
        <is>
          <t>★★★★★</t>
        </is>
      </c>
      <c r="X242" s="34" t="inlineStr">
        <is>
          <t>차광</t>
        </is>
      </c>
      <c r="Y242" s="34" t="inlineStr">
        <is>
          <t>리모넨 등 표시</t>
        </is>
      </c>
      <c r="Z242" s="34" t="inlineStr">
        <is>
          <t>—</t>
        </is>
      </c>
      <c r="AA242" s="34" t="inlineStr">
        <is>
          <t>엘-멘톨·스피아민트</t>
        </is>
      </c>
      <c r="AB242" s="34" t="inlineStr">
        <is>
          <t>두피·풋 쿨링</t>
        </is>
      </c>
      <c r="AC242" s="34" t="inlineStr">
        <is>
          <t>—</t>
        </is>
      </c>
      <c r="AD242" s="34" t="inlineStr">
        <is>
          <t>허브누리</t>
        </is>
      </c>
      <c r="AE242" s="38" t="n"/>
      <c r="AF242" s="39" t="n"/>
      <c r="AG242" s="38" t="n"/>
    </row>
    <row r="243" ht="92" customHeight="1">
      <c r="A243" s="82" t="n">
        <v>239</v>
      </c>
      <c r="B243" s="83" t="inlineStr">
        <is>
          <t>프랑킨센스에센셜오일</t>
        </is>
      </c>
      <c r="C243" s="34" t="inlineStr">
        <is>
          <t>Boswellia Carterii Oil</t>
        </is>
      </c>
      <c r="D243" s="37" t="inlineStr">
        <is>
          <t>–</t>
        </is>
      </c>
      <c r="E243" s="84" t="inlineStr">
        <is>
          <t>향</t>
        </is>
      </c>
      <c r="F243" s="34" t="inlineStr">
        <is>
          <t>우디 레진 베이스노트</t>
        </is>
      </c>
      <c r="G243" s="34" t="inlineStr">
        <is>
          <t>식물</t>
        </is>
      </c>
      <c r="H243" s="34" t="inlineStr">
        <is>
          <t>보스웰리아 나무 수지(유향)</t>
        </is>
      </c>
      <c r="I243" s="34" t="inlineStr">
        <is>
          <t>수지 수증기 증류</t>
        </is>
      </c>
      <c r="J243" s="34" t="inlineStr">
        <is>
          <t>정유(피넨·리모넨)</t>
        </is>
      </c>
      <c r="K243" s="34" t="inlineStr">
        <is>
          <t>액상</t>
        </is>
      </c>
      <c r="L243" s="34" t="inlineStr">
        <is>
          <t>무색~연노랑</t>
        </is>
      </c>
      <c r="M243" s="34" t="inlineStr">
        <is>
          <t>레진·우디</t>
        </is>
      </c>
      <c r="N243" s="34" t="inlineStr">
        <is>
          <t>유용성</t>
        </is>
      </c>
      <c r="O243" s="34" t="inlineStr">
        <is>
          <t>냉각상</t>
        </is>
      </c>
      <c r="P243" s="34" t="inlineStr">
        <is>
          <t>—</t>
        </is>
      </c>
      <c r="Q243" s="34" t="inlineStr">
        <is>
          <t>—</t>
        </is>
      </c>
      <c r="R243" s="34" t="inlineStr">
        <is>
          <t>향</t>
        </is>
      </c>
      <c r="S243" s="34" t="inlineStr">
        <is>
          <t>0.1~0.5%</t>
        </is>
      </c>
      <c r="T243" s="34" t="inlineStr">
        <is>
          <t>산화 주의</t>
        </is>
      </c>
      <c r="U243" s="34" t="inlineStr">
        <is>
          <t>—</t>
        </is>
      </c>
      <c r="V243" s="34" t="inlineStr">
        <is>
          <t>₩20,000/10ml</t>
        </is>
      </c>
      <c r="W243" s="37" t="inlineStr">
        <is>
          <t>★★★★☆</t>
        </is>
      </c>
      <c r="X243" s="34" t="inlineStr">
        <is>
          <t>차광</t>
        </is>
      </c>
      <c r="Y243" s="34" t="inlineStr">
        <is>
          <t>리모넨 표시 대상</t>
        </is>
      </c>
      <c r="Z243" s="34" t="inlineStr">
        <is>
          <t>—</t>
        </is>
      </c>
      <c r="AA243" s="34" t="inlineStr">
        <is>
          <t>시더우드·샌달우드</t>
        </is>
      </c>
      <c r="AB243" s="34" t="inlineStr">
        <is>
          <t>안티에이징 무드 향</t>
        </is>
      </c>
      <c r="AC243" s="34" t="inlineStr">
        <is>
          <t>—</t>
        </is>
      </c>
      <c r="AD243" s="34" t="inlineStr">
        <is>
          <t>허브누리</t>
        </is>
      </c>
      <c r="AE243" s="38" t="n"/>
      <c r="AF243" s="39" t="n"/>
      <c r="AG243" s="38" t="n"/>
    </row>
    <row r="244" ht="92" customHeight="1">
      <c r="A244" s="82" t="n">
        <v>240</v>
      </c>
      <c r="B244" s="83" t="inlineStr">
        <is>
          <t>유칼립투스에센셜오일</t>
        </is>
      </c>
      <c r="C244" s="34" t="inlineStr">
        <is>
          <t>Eucalyptus Globulus Leaf Oil</t>
        </is>
      </c>
      <c r="D244" s="37" t="inlineStr">
        <is>
          <t>–</t>
        </is>
      </c>
      <c r="E244" s="84" t="inlineStr">
        <is>
          <t>향</t>
        </is>
      </c>
      <c r="F244" s="34" t="inlineStr">
        <is>
          <t>청량 허브</t>
        </is>
      </c>
      <c r="G244" s="34" t="inlineStr">
        <is>
          <t>식물</t>
        </is>
      </c>
      <c r="H244" s="34" t="inlineStr">
        <is>
          <t>유칼립투스 잎</t>
        </is>
      </c>
      <c r="I244" s="34" t="inlineStr">
        <is>
          <t>수증기 증류</t>
        </is>
      </c>
      <c r="J244" s="34" t="inlineStr">
        <is>
          <t>정유(1,8-시네올)</t>
        </is>
      </c>
      <c r="K244" s="34" t="inlineStr">
        <is>
          <t>액상</t>
        </is>
      </c>
      <c r="L244" s="34" t="inlineStr">
        <is>
          <t>무색</t>
        </is>
      </c>
      <c r="M244" s="34" t="inlineStr">
        <is>
          <t>시원한 허브</t>
        </is>
      </c>
      <c r="N244" s="34" t="inlineStr">
        <is>
          <t>유용성</t>
        </is>
      </c>
      <c r="O244" s="34" t="inlineStr">
        <is>
          <t>냉각상</t>
        </is>
      </c>
      <c r="P244" s="34" t="inlineStr">
        <is>
          <t>—</t>
        </is>
      </c>
      <c r="Q244" s="34" t="inlineStr">
        <is>
          <t>—</t>
        </is>
      </c>
      <c r="R244" s="34" t="inlineStr">
        <is>
          <t>향</t>
        </is>
      </c>
      <c r="S244" s="34" t="inlineStr">
        <is>
          <t>0.1~0.5%</t>
        </is>
      </c>
      <c r="T244" s="34" t="inlineStr">
        <is>
          <t>휘발</t>
        </is>
      </c>
      <c r="U244" s="34" t="inlineStr">
        <is>
          <t>★ 영유아 얼굴 근처 금지 언급</t>
        </is>
      </c>
      <c r="V244" s="34" t="inlineStr">
        <is>
          <t>₩6,000/10ml</t>
        </is>
      </c>
      <c r="W244" s="37" t="inlineStr">
        <is>
          <t>★★★★★</t>
        </is>
      </c>
      <c r="X244" s="34" t="inlineStr">
        <is>
          <t>차광</t>
        </is>
      </c>
      <c r="Y244" s="34" t="inlineStr">
        <is>
          <t>리모넨 등 표시</t>
        </is>
      </c>
      <c r="Z244" s="34" t="inlineStr">
        <is>
          <t>—</t>
        </is>
      </c>
      <c r="AA244" s="34" t="inlineStr">
        <is>
          <t>페퍼민트·티트리</t>
        </is>
      </c>
      <c r="AB244" s="34" t="inlineStr">
        <is>
          <t>바디·배스 청량</t>
        </is>
      </c>
      <c r="AC244" s="34" t="inlineStr">
        <is>
          <t>—</t>
        </is>
      </c>
      <c r="AD244" s="34" t="inlineStr">
        <is>
          <t>허브누리</t>
        </is>
      </c>
      <c r="AE244" s="38" t="n"/>
      <c r="AF244" s="39" t="n"/>
      <c r="AG244" s="38" t="n"/>
    </row>
    <row r="245" ht="92" customHeight="1">
      <c r="A245" s="82" t="n">
        <v>241</v>
      </c>
      <c r="B245" s="83" t="inlineStr">
        <is>
          <t>편백에센셜오일</t>
        </is>
      </c>
      <c r="C245" s="34" t="inlineStr">
        <is>
          <t>Chamaecyparis Obtusa Oil</t>
        </is>
      </c>
      <c r="D245" s="37" t="inlineStr">
        <is>
          <t>–</t>
        </is>
      </c>
      <c r="E245" s="84" t="inlineStr">
        <is>
          <t>향</t>
        </is>
      </c>
      <c r="F245" s="34" t="inlineStr">
        <is>
          <t>숲·피톤치드</t>
        </is>
      </c>
      <c r="G245" s="34" t="inlineStr">
        <is>
          <t>식물</t>
        </is>
      </c>
      <c r="H245" s="34" t="inlineStr">
        <is>
          <t>편백 잎·목재</t>
        </is>
      </c>
      <c r="I245" s="34" t="inlineStr">
        <is>
          <t>수증기 증류</t>
        </is>
      </c>
      <c r="J245" s="34" t="inlineStr">
        <is>
          <t>정유(테르펜류)</t>
        </is>
      </c>
      <c r="K245" s="34" t="inlineStr">
        <is>
          <t>액상</t>
        </is>
      </c>
      <c r="L245" s="34" t="inlineStr">
        <is>
          <t>무색~연노랑</t>
        </is>
      </c>
      <c r="M245" s="34" t="inlineStr">
        <is>
          <t>숲·나무</t>
        </is>
      </c>
      <c r="N245" s="34" t="inlineStr">
        <is>
          <t>유용성</t>
        </is>
      </c>
      <c r="O245" s="34" t="inlineStr">
        <is>
          <t>냉각상</t>
        </is>
      </c>
      <c r="P245" s="34" t="inlineStr">
        <is>
          <t>—</t>
        </is>
      </c>
      <c r="Q245" s="34" t="inlineStr">
        <is>
          <t>—</t>
        </is>
      </c>
      <c r="R245" s="34" t="inlineStr">
        <is>
          <t>향</t>
        </is>
      </c>
      <c r="S245" s="34" t="inlineStr">
        <is>
          <t>0.1~0.5%</t>
        </is>
      </c>
      <c r="T245" s="34" t="inlineStr">
        <is>
          <t>보통</t>
        </is>
      </c>
      <c r="U245" s="34" t="inlineStr">
        <is>
          <t>국내산 스토리</t>
        </is>
      </c>
      <c r="V245" s="34" t="inlineStr">
        <is>
          <t>₩10,000/10ml</t>
        </is>
      </c>
      <c r="W245" s="37" t="inlineStr">
        <is>
          <t>★★★★☆</t>
        </is>
      </c>
      <c r="X245" s="34" t="inlineStr">
        <is>
          <t>차광</t>
        </is>
      </c>
      <c r="Y245" s="34" t="inlineStr">
        <is>
          <t>리모넨 등 표시</t>
        </is>
      </c>
      <c r="Z245" s="34" t="inlineStr">
        <is>
          <t>—</t>
        </is>
      </c>
      <c r="AA245" s="34" t="inlineStr">
        <is>
          <t>편백워터·시더우드</t>
        </is>
      </c>
      <c r="AB245" s="34" t="inlineStr">
        <is>
          <t>K-숲 스토리 향</t>
        </is>
      </c>
      <c r="AC245" s="34" t="inlineStr">
        <is>
          <t>—</t>
        </is>
      </c>
      <c r="AD245" s="34" t="inlineStr">
        <is>
          <t>허브누리</t>
        </is>
      </c>
      <c r="AE245" s="38" t="n"/>
      <c r="AF245" s="39" t="n"/>
      <c r="AG245" s="38" t="n"/>
    </row>
    <row r="246" ht="92" customHeight="1">
      <c r="A246" s="82" t="n">
        <v>242</v>
      </c>
      <c r="B246" s="83" t="inlineStr">
        <is>
          <t>시더우드에센셜오일</t>
        </is>
      </c>
      <c r="C246" s="34" t="inlineStr">
        <is>
          <t>Cedrus Atlantica Bark Oil</t>
        </is>
      </c>
      <c r="D246" s="37" t="inlineStr">
        <is>
          <t>–</t>
        </is>
      </c>
      <c r="E246" s="84" t="inlineStr">
        <is>
          <t>향</t>
        </is>
      </c>
      <c r="F246" s="34" t="inlineStr">
        <is>
          <t>우디 베이스노트·남성향</t>
        </is>
      </c>
      <c r="G246" s="34" t="inlineStr">
        <is>
          <t>식물</t>
        </is>
      </c>
      <c r="H246" s="34" t="inlineStr">
        <is>
          <t>아틀라스 시더 목재</t>
        </is>
      </c>
      <c r="I246" s="34" t="inlineStr">
        <is>
          <t>수증기 증류</t>
        </is>
      </c>
      <c r="J246" s="34" t="inlineStr">
        <is>
          <t>정유(세스퀴테르펜)</t>
        </is>
      </c>
      <c r="K246" s="34" t="inlineStr">
        <is>
          <t>액상</t>
        </is>
      </c>
      <c r="L246" s="34" t="inlineStr">
        <is>
          <t>황~호박</t>
        </is>
      </c>
      <c r="M246" s="34" t="inlineStr">
        <is>
          <t>따뜻한 나무</t>
        </is>
      </c>
      <c r="N246" s="34" t="inlineStr">
        <is>
          <t>유용성</t>
        </is>
      </c>
      <c r="O246" s="34" t="inlineStr">
        <is>
          <t>냉각상</t>
        </is>
      </c>
      <c r="P246" s="34" t="inlineStr">
        <is>
          <t>—</t>
        </is>
      </c>
      <c r="Q246" s="34" t="inlineStr">
        <is>
          <t>—</t>
        </is>
      </c>
      <c r="R246" s="34" t="inlineStr">
        <is>
          <t>향</t>
        </is>
      </c>
      <c r="S246" s="34" t="inlineStr">
        <is>
          <t>0.1~0.5%</t>
        </is>
      </c>
      <c r="T246" s="34" t="inlineStr">
        <is>
          <t>안정(베이스노트)</t>
        </is>
      </c>
      <c r="U246" s="34" t="inlineStr">
        <is>
          <t>향 지속 담당(베이스)</t>
        </is>
      </c>
      <c r="V246" s="34" t="inlineStr">
        <is>
          <t>₩8,000/10ml</t>
        </is>
      </c>
      <c r="W246" s="37" t="inlineStr">
        <is>
          <t>★★★★☆</t>
        </is>
      </c>
      <c r="X246" s="34" t="inlineStr">
        <is>
          <t>차광</t>
        </is>
      </c>
      <c r="Y246" s="34" t="inlineStr">
        <is>
          <t>알레르기 성분 표시 확인</t>
        </is>
      </c>
      <c r="Z246" s="34" t="inlineStr">
        <is>
          <t>탑·미들·베이스 노트 개념</t>
        </is>
      </c>
      <c r="AA246" s="34" t="inlineStr">
        <is>
          <t>프랑킨센스·편백</t>
        </is>
      </c>
      <c r="AB246" s="34" t="inlineStr">
        <is>
          <t>향 지속력 보강</t>
        </is>
      </c>
      <c r="AC246" s="34" t="inlineStr">
        <is>
          <t>탑(레몬)+미들(라벤더)+베이스(시더) 1:2:1 블렌딩</t>
        </is>
      </c>
      <c r="AD246" s="34" t="inlineStr">
        <is>
          <t>허브누리</t>
        </is>
      </c>
      <c r="AE246" s="38" t="n"/>
      <c r="AF246" s="39" t="n"/>
      <c r="AG246" s="38" t="n"/>
    </row>
    <row r="247" ht="92" customHeight="1">
      <c r="A247" s="82" t="n">
        <v>243</v>
      </c>
      <c r="B247" s="83" t="inlineStr">
        <is>
          <t>로즈앱솔루트</t>
        </is>
      </c>
      <c r="C247" s="34" t="inlineStr">
        <is>
          <t>Rosa Damascena Flower Extract (absolute)</t>
        </is>
      </c>
      <c r="D247" s="37" t="inlineStr">
        <is>
          <t>–</t>
        </is>
      </c>
      <c r="E247" s="84" t="inlineStr">
        <is>
          <t>향</t>
        </is>
      </c>
      <c r="F247" s="34" t="inlineStr">
        <is>
          <t>최고급 장미향</t>
        </is>
      </c>
      <c r="G247" s="34" t="inlineStr">
        <is>
          <t>식물</t>
        </is>
      </c>
      <c r="H247" s="34" t="inlineStr">
        <is>
          <t>다마스크 장미 꽃잎</t>
        </is>
      </c>
      <c r="I247" s="34" t="inlineStr">
        <is>
          <t>용매(헥산) 추출 → 콘크리트 → 에탄올 세척 → 앱솔루트 (증류 '로즈오토'와 다름)</t>
        </is>
      </c>
      <c r="J247" s="34" t="inlineStr">
        <is>
          <t>향료(페닐에틸알코올·시트로넬롤·제라니올)</t>
        </is>
      </c>
      <c r="K247" s="34" t="inlineStr">
        <is>
          <t>점성 액상</t>
        </is>
      </c>
      <c r="L247" s="34" t="inlineStr">
        <is>
          <t>적갈색</t>
        </is>
      </c>
      <c r="M247" s="34" t="inlineStr">
        <is>
          <t>진하고 생화 같은 장미향</t>
        </is>
      </c>
      <c r="N247" s="34" t="inlineStr">
        <is>
          <t>유용성·에탄올</t>
        </is>
      </c>
      <c r="O247" s="34" t="inlineStr">
        <is>
          <t>냉각상, 0.01~0.1%만</t>
        </is>
      </c>
      <c r="P247" s="34" t="inlineStr">
        <is>
          <t>—</t>
        </is>
      </c>
      <c r="Q247" s="34" t="inlineStr">
        <is>
          <t>—</t>
        </is>
      </c>
      <c r="R247" s="34" t="inlineStr">
        <is>
          <t>향 오래 남음</t>
        </is>
      </c>
      <c r="S247" s="34" t="inlineStr">
        <is>
          <t>0.01~0.2%</t>
        </is>
      </c>
      <c r="T247" s="34" t="inlineStr">
        <is>
          <t>산화 비교적 느림</t>
        </is>
      </c>
      <c r="U247" s="34" t="inlineStr">
        <is>
          <t>★ 알레르기 유발 성분(시트로넬롤·제라니올·유제놀 등) 표시 대상 가능. 극소량도 향 강함</t>
        </is>
      </c>
      <c r="V247" s="34" t="inlineStr">
        <is>
          <t>₩40,000/5ml</t>
        </is>
      </c>
      <c r="W247" s="37" t="inlineStr">
        <is>
          <t>★★★☆☆</t>
        </is>
      </c>
      <c r="X247" s="34" t="inlineStr">
        <is>
          <t>서늘·차광</t>
        </is>
      </c>
      <c r="Y247" s="34" t="inlineStr">
        <is>
          <t>EU·IFRA 기준 확인(메틸유제놀 등). 알레르기 성분 0.001%↑(사용 후 씻지 않는) 표시</t>
        </is>
      </c>
      <c r="Z247" s="34" t="inlineStr">
        <is>
          <t>—</t>
        </is>
      </c>
      <c r="AA247" s="34" t="inlineStr">
        <is>
          <t>로즈제라늄에센셜오일·로즈워터(하이드로졸)</t>
        </is>
      </c>
      <c r="AB247" s="34" t="inlineStr">
        <is>
          <t>진짜 장미향 = 앱솔루트, 가성비 장미향 = 로즈제라늄</t>
        </is>
      </c>
      <c r="AC247" s="34" t="inlineStr">
        <is>
          <t>에탄올에 1% 희석 → 시향지로 로즈제라늄과 비교</t>
        </is>
      </c>
      <c r="AD247" s="34" t="inlineStr">
        <is>
          <t>허브누리</t>
        </is>
      </c>
      <c r="AE247" s="38" t="n"/>
      <c r="AF247" s="39" t="n"/>
      <c r="AG247" s="38" t="n"/>
    </row>
    <row r="248" ht="92" customHeight="1">
      <c r="A248" s="82" t="n">
        <v>244</v>
      </c>
      <c r="B248" s="83" t="inlineStr">
        <is>
          <t>저먼캐모마일에센셜오일</t>
        </is>
      </c>
      <c r="C248" s="34" t="inlineStr">
        <is>
          <t>Chamomilla Recutita (Matricaria) Flower Oil</t>
        </is>
      </c>
      <c r="D248" s="37" t="inlineStr">
        <is>
          <t>–</t>
        </is>
      </c>
      <c r="E248" s="84" t="inlineStr">
        <is>
          <t>향</t>
        </is>
      </c>
      <c r="F248" s="34" t="inlineStr">
        <is>
          <t>진정 무드·푸른 색</t>
        </is>
      </c>
      <c r="G248" s="34" t="inlineStr">
        <is>
          <t>식물</t>
        </is>
      </c>
      <c r="H248" s="34" t="inlineStr">
        <is>
          <t>저먼 캐모마일 꽃</t>
        </is>
      </c>
      <c r="I248" s="34" t="inlineStr">
        <is>
          <t>수증기 증류(증류 중 카마줄렌 생성 → 진청색)</t>
        </is>
      </c>
      <c r="J248" s="34" t="inlineStr">
        <is>
          <t>향료(카마줄렌·α-비사보롤)</t>
        </is>
      </c>
      <c r="K248" s="34" t="inlineStr">
        <is>
          <t>액상</t>
        </is>
      </c>
      <c r="L248" s="34" t="inlineStr">
        <is>
          <t>진청색</t>
        </is>
      </c>
      <c r="M248" s="34" t="inlineStr">
        <is>
          <t>진한 허브·건초향</t>
        </is>
      </c>
      <c r="N248" s="34" t="inlineStr">
        <is>
          <t>유용성</t>
        </is>
      </c>
      <c r="O248" s="34" t="inlineStr">
        <is>
          <t>냉각상</t>
        </is>
      </c>
      <c r="P248" s="34" t="inlineStr">
        <is>
          <t>—</t>
        </is>
      </c>
      <c r="Q248" s="34" t="inlineStr">
        <is>
          <t>—</t>
        </is>
      </c>
      <c r="R248" s="34" t="inlineStr">
        <is>
          <t>—</t>
        </is>
      </c>
      <c r="S248" s="34" t="inlineStr">
        <is>
          <t>0.05~0.5%</t>
        </is>
      </c>
      <c r="T248" s="34" t="inlineStr">
        <is>
          <t>빛·공기로 청색 → 녹·갈색 변질</t>
        </is>
      </c>
      <c r="U248" s="34" t="inlineStr">
        <is>
          <t>색이 제품에 묻어남(청록 착색). 향이 강하고 호불호 큼</t>
        </is>
      </c>
      <c r="V248" s="34" t="inlineStr">
        <is>
          <t>₩30,000/5ml</t>
        </is>
      </c>
      <c r="W248" s="37" t="inlineStr">
        <is>
          <t>★★★☆☆</t>
        </is>
      </c>
      <c r="X248" s="34" t="inlineStr">
        <is>
          <t>냉장·차광</t>
        </is>
      </c>
      <c r="Y248" s="34" t="inlineStr">
        <is>
          <t>제한 없음 (국화과 알레르기, '항염' 표방 금지)</t>
        </is>
      </c>
      <c r="Z248" s="34" t="inlineStr">
        <is>
          <t>—</t>
        </is>
      </c>
      <c r="AA248" s="34" t="inlineStr">
        <is>
          <t>로먼캐모마일에센셜오일·알파-비사보롤</t>
        </is>
      </c>
      <c r="AB248" s="34" t="inlineStr">
        <is>
          <t>향 목적 = 로먼, 비사보롤 성분 목적 = 비사보롤 단일이 안정·저렴</t>
        </is>
      </c>
      <c r="AC248" s="34" t="inlineStr">
        <is>
          <t>오일 10ml에 1방울 — 색이 얼마나 물드는지</t>
        </is>
      </c>
      <c r="AD248" s="34" t="inlineStr">
        <is>
          <t>허브누리</t>
        </is>
      </c>
      <c r="AE248" s="38" t="n"/>
      <c r="AF248" s="39" t="n"/>
      <c r="AG248" s="38" t="n"/>
    </row>
    <row r="249" ht="92" customHeight="1">
      <c r="A249" s="82" t="n">
        <v>245</v>
      </c>
      <c r="B249" s="83" t="inlineStr">
        <is>
          <t>스피아민트에센셜오일</t>
        </is>
      </c>
      <c r="C249" s="34" t="inlineStr">
        <is>
          <t>Mentha Viridis (Spearmint) Leaf Oil</t>
        </is>
      </c>
      <c r="D249" s="37" t="inlineStr">
        <is>
          <t>–</t>
        </is>
      </c>
      <c r="E249" s="84" t="inlineStr">
        <is>
          <t>향</t>
        </is>
      </c>
      <c r="F249" s="34" t="inlineStr">
        <is>
          <t>부드러운 박하향·청량(립·두피)</t>
        </is>
      </c>
      <c r="G249" s="34" t="inlineStr">
        <is>
          <t>식물</t>
        </is>
      </c>
      <c r="H249" s="34" t="inlineStr">
        <is>
          <t>스피아민트 잎</t>
        </is>
      </c>
      <c r="I249" s="34" t="inlineStr">
        <is>
          <t>수증기 증류</t>
        </is>
      </c>
      <c r="J249" s="34" t="inlineStr">
        <is>
          <t>향료(L-카본·리모넨)</t>
        </is>
      </c>
      <c r="K249" s="34" t="inlineStr">
        <is>
          <t>액상</t>
        </is>
      </c>
      <c r="L249" s="34" t="inlineStr">
        <is>
          <t>무색~연노랑</t>
        </is>
      </c>
      <c r="M249" s="34" t="inlineStr">
        <is>
          <t>달콤 부드러운 민트(껌 향)</t>
        </is>
      </c>
      <c r="N249" s="34" t="inlineStr">
        <is>
          <t>유용성</t>
        </is>
      </c>
      <c r="O249" s="34" t="inlineStr">
        <is>
          <t>냉각상</t>
        </is>
      </c>
      <c r="P249" s="34" t="inlineStr">
        <is>
          <t>—</t>
        </is>
      </c>
      <c r="Q249" s="34" t="inlineStr">
        <is>
          <t>—</t>
        </is>
      </c>
      <c r="R249" s="34" t="inlineStr">
        <is>
          <t>약한 청량</t>
        </is>
      </c>
      <c r="S249" s="34" t="inlineStr">
        <is>
          <t>0.1~1% (립은 낮게)</t>
        </is>
      </c>
      <c r="T249" s="34" t="inlineStr">
        <is>
          <t>산화 시 자극↑</t>
        </is>
      </c>
      <c r="U249" s="34" t="inlineStr">
        <is>
          <t>페퍼민트보다 멘톨 적어 화끈함↓ → 립·어린이 지향 제품 선택지</t>
        </is>
      </c>
      <c r="V249" s="34" t="inlineStr">
        <is>
          <t>₩8,000/10ml</t>
        </is>
      </c>
      <c r="W249" s="37" t="inlineStr">
        <is>
          <t>★★★★☆</t>
        </is>
      </c>
      <c r="X249" s="34" t="inlineStr">
        <is>
          <t>서늘·차광</t>
        </is>
      </c>
      <c r="Y249" s="34" t="inlineStr">
        <is>
          <t>IFRA 기준 확인, 리모넨 알레르기 표시</t>
        </is>
      </c>
      <c r="Z249" s="34" t="inlineStr">
        <is>
          <t>—</t>
        </is>
      </c>
      <c r="AA249" s="34" t="inlineStr">
        <is>
          <t>페퍼민트에센셜오일·엘-멘톨</t>
        </is>
      </c>
      <c r="AB249" s="34" t="inlineStr">
        <is>
          <t>시원함 = 페퍼민트/멘톨, 달콤한 민트향 = 스피아민트</t>
        </is>
      </c>
      <c r="AC249" s="34" t="inlineStr">
        <is>
          <t>페퍼민트 vs 스피아민트 시향 — '시원함'과 '단맛' 점수</t>
        </is>
      </c>
      <c r="AD249" s="34" t="inlineStr">
        <is>
          <t>허브누리</t>
        </is>
      </c>
      <c r="AE249" s="38" t="n"/>
      <c r="AF249" s="39" t="n"/>
      <c r="AG249" s="38" t="n"/>
    </row>
    <row r="250" ht="92" customHeight="1">
      <c r="A250" s="82" t="n">
        <v>246</v>
      </c>
      <c r="B250" s="83" t="inlineStr">
        <is>
          <t>마조람에센셜오일</t>
        </is>
      </c>
      <c r="C250" s="34" t="inlineStr">
        <is>
          <t>Origanum Majorana Leaf Oil</t>
        </is>
      </c>
      <c r="D250" s="37" t="inlineStr">
        <is>
          <t>–</t>
        </is>
      </c>
      <c r="E250" s="84" t="inlineStr">
        <is>
          <t>향</t>
        </is>
      </c>
      <c r="F250" s="34" t="inlineStr">
        <is>
          <t>따뜻한 허브향(바디·마사지)</t>
        </is>
      </c>
      <c r="G250" s="34" t="inlineStr">
        <is>
          <t>식물</t>
        </is>
      </c>
      <c r="H250" s="34" t="inlineStr">
        <is>
          <t>스위트 마조람 잎</t>
        </is>
      </c>
      <c r="I250" s="34" t="inlineStr">
        <is>
          <t>수증기 증류</t>
        </is>
      </c>
      <c r="J250" s="34" t="inlineStr">
        <is>
          <t>향료(테르피넨-4-올·리날룰)</t>
        </is>
      </c>
      <c r="K250" s="34" t="inlineStr">
        <is>
          <t>액상</t>
        </is>
      </c>
      <c r="L250" s="34" t="inlineStr">
        <is>
          <t>연노랑</t>
        </is>
      </c>
      <c r="M250" s="34" t="inlineStr">
        <is>
          <t>따뜻하고 부드러운 허브향</t>
        </is>
      </c>
      <c r="N250" s="34" t="inlineStr">
        <is>
          <t>유용성</t>
        </is>
      </c>
      <c r="O250" s="34" t="inlineStr">
        <is>
          <t>냉각상</t>
        </is>
      </c>
      <c r="P250" s="34" t="inlineStr">
        <is>
          <t>—</t>
        </is>
      </c>
      <c r="Q250" s="34" t="inlineStr">
        <is>
          <t>—</t>
        </is>
      </c>
      <c r="R250" s="34" t="inlineStr">
        <is>
          <t>—</t>
        </is>
      </c>
      <c r="S250" s="34" t="inlineStr">
        <is>
          <t>0.5~2% (바디)</t>
        </is>
      </c>
      <c r="T250" s="34" t="inlineStr">
        <is>
          <t>산화 시 자극↑</t>
        </is>
      </c>
      <c r="U250" s="34" t="inlineStr">
        <is>
          <t>라벤더와 잘 어울림. '근육 이완'은 의약품 오인 → 광고 금지</t>
        </is>
      </c>
      <c r="V250" s="34" t="inlineStr">
        <is>
          <t>₩10,000/10ml</t>
        </is>
      </c>
      <c r="W250" s="37" t="inlineStr">
        <is>
          <t>★★★☆☆</t>
        </is>
      </c>
      <c r="X250" s="34" t="inlineStr">
        <is>
          <t>서늘·차광</t>
        </is>
      </c>
      <c r="Y250" s="34" t="inlineStr">
        <is>
          <t>리날룰 알레르기 표시</t>
        </is>
      </c>
      <c r="Z250" s="34" t="inlineStr">
        <is>
          <t>—</t>
        </is>
      </c>
      <c r="AA250" s="34" t="inlineStr">
        <is>
          <t>라벤더에센셜오일·로즈마리에센셜오일</t>
        </is>
      </c>
      <c r="AB250" s="34" t="inlineStr">
        <is>
          <t>라벤더보다 따뜻·묵직한 허브. 바디오일 블렌드용</t>
        </is>
      </c>
      <c r="AC250" s="34" t="inlineStr">
        <is>
          <t>라벤더 1 : 마조람 1 블렌드 vs 라벤더 단독 시향</t>
        </is>
      </c>
      <c r="AD250" s="34" t="inlineStr">
        <is>
          <t>허브누리</t>
        </is>
      </c>
      <c r="AE250" s="38" t="n"/>
      <c r="AF250" s="39" t="n"/>
      <c r="AG250" s="38" t="n"/>
    </row>
    <row r="251" ht="92" customHeight="1">
      <c r="A251" s="82" t="n">
        <v>247</v>
      </c>
      <c r="B251" s="83" t="inlineStr">
        <is>
          <t>주니퍼베리에센셜오일</t>
        </is>
      </c>
      <c r="C251" s="34" t="inlineStr">
        <is>
          <t>Juniperus Communis Fruit Oil</t>
        </is>
      </c>
      <c r="D251" s="37" t="inlineStr">
        <is>
          <t>–</t>
        </is>
      </c>
      <c r="E251" s="84" t="inlineStr">
        <is>
          <t>향</t>
        </is>
      </c>
      <c r="F251" s="34" t="inlineStr">
        <is>
          <t>상쾌한 우디·진(gin) 향</t>
        </is>
      </c>
      <c r="G251" s="34" t="inlineStr">
        <is>
          <t>식물</t>
        </is>
      </c>
      <c r="H251" s="34" t="inlineStr">
        <is>
          <t>주니퍼(노간주) 열매</t>
        </is>
      </c>
      <c r="I251" s="34" t="inlineStr">
        <is>
          <t>수증기 증류</t>
        </is>
      </c>
      <c r="J251" s="34" t="inlineStr">
        <is>
          <t>향료(α-피넨·미르센)</t>
        </is>
      </c>
      <c r="K251" s="34" t="inlineStr">
        <is>
          <t>액상</t>
        </is>
      </c>
      <c r="L251" s="34" t="inlineStr">
        <is>
          <t>무색</t>
        </is>
      </c>
      <c r="M251" s="34" t="inlineStr">
        <is>
          <t>상쾌한 숲·진 향</t>
        </is>
      </c>
      <c r="N251" s="34" t="inlineStr">
        <is>
          <t>유용성</t>
        </is>
      </c>
      <c r="O251" s="34" t="inlineStr">
        <is>
          <t>냉각상</t>
        </is>
      </c>
      <c r="P251" s="34" t="inlineStr">
        <is>
          <t>—</t>
        </is>
      </c>
      <c r="Q251" s="34" t="inlineStr">
        <is>
          <t>—</t>
        </is>
      </c>
      <c r="R251" s="34" t="inlineStr">
        <is>
          <t>—</t>
        </is>
      </c>
      <c r="S251" s="34" t="inlineStr">
        <is>
          <t>0.5~1%</t>
        </is>
      </c>
      <c r="T251" s="34" t="inlineStr">
        <is>
          <t>★ 산화 빠름 → 산화물은 감작성↑ (차광·소용량·토코페롤)</t>
        </is>
      </c>
      <c r="U251" s="34" t="inlineStr">
        <is>
          <t>'디톡스·노폐물 배출' 표현은 근거·광고 리스크</t>
        </is>
      </c>
      <c r="V251" s="34" t="inlineStr">
        <is>
          <t>₩12,000/10ml</t>
        </is>
      </c>
      <c r="W251" s="37" t="inlineStr">
        <is>
          <t>★★★☆☆</t>
        </is>
      </c>
      <c r="X251" s="34" t="inlineStr">
        <is>
          <t>냉장·차광</t>
        </is>
      </c>
      <c r="Y251" s="34" t="inlineStr">
        <is>
          <t>IFRA: 과산화물가 낮은 원료 사용 권장</t>
        </is>
      </c>
      <c r="Z251" s="34" t="inlineStr">
        <is>
          <t>—</t>
        </is>
      </c>
      <c r="AA251" s="34" t="inlineStr">
        <is>
          <t>편백에센셜오일·시더우드에센셜오일</t>
        </is>
      </c>
      <c r="AB251" s="34" t="inlineStr">
        <is>
          <t>남성·우디 라인 탑~미들 노트</t>
        </is>
      </c>
      <c r="AC251" s="34" t="inlineStr">
        <is>
          <t>주니퍼 vs 편백 시향 — 숲향 결 차이 적기</t>
        </is>
      </c>
      <c r="AD251" s="34" t="inlineStr">
        <is>
          <t>허브누리</t>
        </is>
      </c>
      <c r="AE251" s="38" t="n"/>
      <c r="AF251" s="39" t="n"/>
      <c r="AG251" s="38" t="n"/>
    </row>
  </sheetData>
  <autoFilter ref="A4:AG251"/>
  <mergeCells count="9">
    <mergeCell ref="A1:AG1"/>
    <mergeCell ref="B3:J3"/>
    <mergeCell ref="K3:R3"/>
    <mergeCell ref="Y3:Z3"/>
    <mergeCell ref="AA3:AD3"/>
    <mergeCell ref="A2:AG2"/>
    <mergeCell ref="S3:U3"/>
    <mergeCell ref="V3:X3"/>
    <mergeCell ref="AE3:AG3"/>
  </mergeCells>
  <conditionalFormatting sqref="AG5:AG251">
    <cfRule type="expression" priority="1" dxfId="0">
      <formula>LEFT($AG5,1)="3"</formula>
    </cfRule>
    <cfRule type="expression" priority="2" dxfId="1">
      <formula>LEFT($AG5,1)="2"</formula>
    </cfRule>
    <cfRule type="expression" priority="3" dxfId="2">
      <formula>LEFT($AG5,1)="1"</formula>
    </cfRule>
  </conditionalFormatting>
  <dataValidations count="2">
    <dataValidation sqref="AE5:AE251" showDropDown="0" showInputMessage="0" showErrorMessage="0" allowBlank="1" type="list">
      <formula1>"○,✗"</formula1>
    </dataValidation>
    <dataValidation sqref="AG5:AG251" showDropDown="0" showInputMessage="0" showErrorMessage="0" allowBlank="1" type="list">
      <formula1>"0 모름,1 읽음,2 만져봄,3 처방에 씀"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7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6" customHeight="1">
      <c r="A1" s="1" t="inlineStr">
        <is>
          <t>비교 매트릭스 — 같은 역할끼리 1~5점으로</t>
        </is>
      </c>
    </row>
    <row r="2" ht="48" customHeight="1">
      <c r="A2" s="2" t="inlineStr">
        <is>
          <t>5 = 그 성질이 강함(끈적임·무게감도 5=많이 끈적/무거움). 가격 접근·구하기·다루기 쉬움은 5=저렴/쉬움. 점수는 일반적 경향의 상대 비교(내 손 테스트로 고쳐 써도 됨 — 파란 글씨=입력값). → '원하는 감촉'에 맞는 원료를 고를 때 행을 가로로 비교.</t>
        </is>
      </c>
    </row>
    <row r="4">
      <c r="A4" s="85" t="inlineStr">
        <is>
          <t>■ 보습제</t>
        </is>
      </c>
    </row>
    <row r="5">
      <c r="A5" s="7" t="inlineStr">
        <is>
          <t>원료</t>
        </is>
      </c>
      <c r="B5" s="7" t="inlineStr">
        <is>
          <t>보습력</t>
        </is>
      </c>
      <c r="C5" s="7" t="inlineStr">
        <is>
          <t>끈적임</t>
        </is>
      </c>
      <c r="D5" s="7" t="inlineStr">
        <is>
          <t>산뜻함</t>
        </is>
      </c>
      <c r="E5" s="7" t="inlineStr">
        <is>
          <t>방부 부스터</t>
        </is>
      </c>
      <c r="F5" s="7" t="inlineStr">
        <is>
          <t>가격 접근</t>
        </is>
      </c>
      <c r="G5" s="7" t="inlineStr">
        <is>
          <t>구하기</t>
        </is>
      </c>
    </row>
    <row r="6">
      <c r="A6" s="8" t="inlineStr">
        <is>
          <t>글리세린</t>
        </is>
      </c>
      <c r="B6" s="86" t="n">
        <v>5</v>
      </c>
      <c r="C6" s="86" t="n">
        <v>4</v>
      </c>
      <c r="D6" s="86" t="n">
        <v>2</v>
      </c>
      <c r="E6" s="86" t="n">
        <v>1</v>
      </c>
      <c r="F6" s="86" t="n">
        <v>5</v>
      </c>
      <c r="G6" s="86" t="n">
        <v>5</v>
      </c>
    </row>
    <row r="7">
      <c r="A7" s="8" t="inlineStr">
        <is>
          <t>프로판디올</t>
        </is>
      </c>
      <c r="B7" s="86" t="n">
        <v>3</v>
      </c>
      <c r="C7" s="86" t="n">
        <v>2</v>
      </c>
      <c r="D7" s="86" t="n">
        <v>4</v>
      </c>
      <c r="E7" s="86" t="n">
        <v>3</v>
      </c>
      <c r="F7" s="86" t="n">
        <v>3</v>
      </c>
      <c r="G7" s="86" t="n">
        <v>4</v>
      </c>
    </row>
    <row r="8">
      <c r="A8" s="8" t="inlineStr">
        <is>
          <t>부틸렌글라이콜(BG)</t>
        </is>
      </c>
      <c r="B8" s="86" t="n">
        <v>3</v>
      </c>
      <c r="C8" s="86" t="n">
        <v>2</v>
      </c>
      <c r="D8" s="86" t="n">
        <v>4</v>
      </c>
      <c r="E8" s="86" t="n">
        <v>2</v>
      </c>
      <c r="F8" s="86" t="n">
        <v>4</v>
      </c>
      <c r="G8" s="86" t="n">
        <v>4</v>
      </c>
    </row>
    <row r="9">
      <c r="A9" s="8" t="inlineStr">
        <is>
          <t>펜틸렌글라이콜</t>
        </is>
      </c>
      <c r="B9" s="86" t="n">
        <v>3</v>
      </c>
      <c r="C9" s="86" t="n">
        <v>1</v>
      </c>
      <c r="D9" s="86" t="n">
        <v>5</v>
      </c>
      <c r="E9" s="86" t="n">
        <v>4</v>
      </c>
      <c r="F9" s="86" t="n">
        <v>2</v>
      </c>
      <c r="G9" s="86" t="n">
        <v>3</v>
      </c>
    </row>
    <row r="10">
      <c r="A10" s="8" t="inlineStr">
        <is>
          <t>베타인</t>
        </is>
      </c>
      <c r="B10" s="86" t="n">
        <v>3</v>
      </c>
      <c r="C10" s="86" t="n">
        <v>1</v>
      </c>
      <c r="D10" s="86" t="n">
        <v>4</v>
      </c>
      <c r="E10" s="86" t="n">
        <v>1</v>
      </c>
      <c r="F10" s="86" t="n">
        <v>3</v>
      </c>
      <c r="G10" s="86" t="n">
        <v>4</v>
      </c>
    </row>
    <row r="11">
      <c r="A11" s="8" t="inlineStr">
        <is>
          <t>다중 히알루론산</t>
        </is>
      </c>
      <c r="B11" s="86" t="n">
        <v>4</v>
      </c>
      <c r="C11" s="86" t="n">
        <v>3</v>
      </c>
      <c r="D11" s="86" t="n">
        <v>3</v>
      </c>
      <c r="E11" s="86" t="n">
        <v>1</v>
      </c>
      <c r="F11" s="86" t="n">
        <v>1</v>
      </c>
      <c r="G11" s="86" t="n">
        <v>4</v>
      </c>
    </row>
    <row r="12">
      <c r="A12" s="8" t="inlineStr">
        <is>
          <t>소듐PCA</t>
        </is>
      </c>
      <c r="B12" s="86" t="n">
        <v>4</v>
      </c>
      <c r="C12" s="86" t="n">
        <v>2</v>
      </c>
      <c r="D12" s="86" t="n">
        <v>4</v>
      </c>
      <c r="E12" s="86" t="n">
        <v>1</v>
      </c>
      <c r="F12" s="86" t="n">
        <v>3</v>
      </c>
      <c r="G12" s="86" t="n">
        <v>3</v>
      </c>
    </row>
    <row r="13">
      <c r="A13" s="8" t="inlineStr">
        <is>
          <t>트레할로스</t>
        </is>
      </c>
      <c r="B13" s="86" t="n">
        <v>3</v>
      </c>
      <c r="C13" s="86" t="n">
        <v>2</v>
      </c>
      <c r="D13" s="86" t="n">
        <v>4</v>
      </c>
      <c r="E13" s="86" t="n">
        <v>1</v>
      </c>
      <c r="F13" s="86" t="n">
        <v>3</v>
      </c>
      <c r="G13" s="86" t="n">
        <v>3</v>
      </c>
    </row>
    <row r="14">
      <c r="A14" s="8" t="inlineStr">
        <is>
          <t>우레아</t>
        </is>
      </c>
      <c r="B14" s="86" t="n">
        <v>4</v>
      </c>
      <c r="C14" s="86" t="n">
        <v>2</v>
      </c>
      <c r="D14" s="86" t="n">
        <v>4</v>
      </c>
      <c r="E14" s="86" t="n">
        <v>1</v>
      </c>
      <c r="F14" s="86" t="n">
        <v>5</v>
      </c>
      <c r="G14" s="86" t="n">
        <v>3</v>
      </c>
    </row>
    <row r="15">
      <c r="A15" s="8" t="inlineStr">
        <is>
          <t>판테놀(B5)</t>
        </is>
      </c>
      <c r="B15" s="86" t="n">
        <v>3</v>
      </c>
      <c r="C15" s="86" t="n">
        <v>3</v>
      </c>
      <c r="D15" s="86" t="n">
        <v>3</v>
      </c>
      <c r="E15" s="86" t="n">
        <v>1</v>
      </c>
      <c r="F15" s="86" t="n">
        <v>3</v>
      </c>
      <c r="G15" s="86" t="n">
        <v>5</v>
      </c>
    </row>
    <row r="16">
      <c r="A16" s="8" t="inlineStr">
        <is>
          <t>1,2-헥산다이올</t>
        </is>
      </c>
      <c r="B16" s="86" t="n">
        <v>2</v>
      </c>
      <c r="C16" s="86" t="n">
        <v>1</v>
      </c>
      <c r="D16" s="86" t="n">
        <v>5</v>
      </c>
      <c r="E16" s="86" t="n">
        <v>4</v>
      </c>
      <c r="F16" s="86" t="n">
        <v>4</v>
      </c>
      <c r="G16" s="86" t="n">
        <v>5</v>
      </c>
    </row>
    <row r="17">
      <c r="A17" s="8" t="inlineStr">
        <is>
          <t>폴리글루타믹애씨드(PGA)</t>
        </is>
      </c>
      <c r="B17" s="86" t="n">
        <v>4</v>
      </c>
      <c r="C17" s="86" t="n">
        <v>3</v>
      </c>
      <c r="D17" s="86" t="n">
        <v>3</v>
      </c>
      <c r="E17" s="86" t="n">
        <v>1</v>
      </c>
      <c r="F17" s="86" t="n">
        <v>1</v>
      </c>
      <c r="G17" s="86" t="n">
        <v>3</v>
      </c>
    </row>
    <row r="18">
      <c r="A18" s="8" t="inlineStr">
        <is>
          <t>리피듀어</t>
        </is>
      </c>
      <c r="B18" s="86" t="n">
        <v>4</v>
      </c>
      <c r="C18" s="86" t="n">
        <v>2</v>
      </c>
      <c r="D18" s="86" t="n">
        <v>4</v>
      </c>
      <c r="E18" s="86" t="n">
        <v>1</v>
      </c>
      <c r="F18" s="86" t="n">
        <v>2</v>
      </c>
      <c r="G18" s="86" t="n">
        <v>3</v>
      </c>
    </row>
    <row r="19">
      <c r="A19" s="8" t="inlineStr">
        <is>
          <t>자일리톨</t>
        </is>
      </c>
      <c r="B19" s="86" t="n">
        <v>2</v>
      </c>
      <c r="C19" s="86" t="n">
        <v>2</v>
      </c>
      <c r="D19" s="86" t="n">
        <v>4</v>
      </c>
      <c r="E19" s="86" t="n">
        <v>1</v>
      </c>
      <c r="F19" s="86" t="n">
        <v>5</v>
      </c>
      <c r="G19" s="86" t="n">
        <v>4</v>
      </c>
    </row>
    <row r="20">
      <c r="A20" s="8" t="inlineStr">
        <is>
          <t>허니(꿀) 추출물</t>
        </is>
      </c>
      <c r="B20" s="86" t="n">
        <v>3</v>
      </c>
      <c r="C20" s="86" t="n">
        <v>4</v>
      </c>
      <c r="D20" s="86" t="n">
        <v>2</v>
      </c>
      <c r="E20" s="86" t="n">
        <v>1</v>
      </c>
      <c r="F20" s="86" t="n">
        <v>4</v>
      </c>
      <c r="G20" s="86" t="n">
        <v>4</v>
      </c>
    </row>
    <row r="22">
      <c r="A22" s="85" t="inlineStr">
        <is>
          <t>■ 오일·에스터</t>
        </is>
      </c>
    </row>
    <row r="23">
      <c r="A23" s="7" t="inlineStr">
        <is>
          <t>원료</t>
        </is>
      </c>
      <c r="B23" s="7" t="inlineStr">
        <is>
          <t>발림성(퍼짐)</t>
        </is>
      </c>
      <c r="C23" s="7" t="inlineStr">
        <is>
          <t>흡수 속도</t>
        </is>
      </c>
      <c r="D23" s="7" t="inlineStr">
        <is>
          <t>무게감</t>
        </is>
      </c>
      <c r="E23" s="7" t="inlineStr">
        <is>
          <t>윤기</t>
        </is>
      </c>
      <c r="F23" s="7" t="inlineStr">
        <is>
          <t>산화 안정성</t>
        </is>
      </c>
      <c r="G23" s="7" t="inlineStr">
        <is>
          <t>가격 접근</t>
        </is>
      </c>
    </row>
    <row r="24">
      <c r="A24" s="8" t="inlineStr">
        <is>
          <t>디카프릴릴카보네이트</t>
        </is>
      </c>
      <c r="B24" s="86" t="n">
        <v>5</v>
      </c>
      <c r="C24" s="86" t="n">
        <v>5</v>
      </c>
      <c r="D24" s="86" t="n">
        <v>1</v>
      </c>
      <c r="E24" s="86" t="n">
        <v>1</v>
      </c>
      <c r="F24" s="86" t="n">
        <v>5</v>
      </c>
      <c r="G24" s="86" t="n">
        <v>2</v>
      </c>
    </row>
    <row r="25">
      <c r="A25" s="8" t="inlineStr">
        <is>
          <t>코코-카프릴레이트/카프레이트</t>
        </is>
      </c>
      <c r="B25" s="86" t="n">
        <v>5</v>
      </c>
      <c r="C25" s="86" t="n">
        <v>5</v>
      </c>
      <c r="D25" s="86" t="n">
        <v>1</v>
      </c>
      <c r="E25" s="86" t="n">
        <v>2</v>
      </c>
      <c r="F25" s="86" t="n">
        <v>5</v>
      </c>
      <c r="G25" s="86" t="n">
        <v>2</v>
      </c>
    </row>
    <row r="26">
      <c r="A26" s="8" t="inlineStr">
        <is>
          <t>이소노닐이소노나노에이트</t>
        </is>
      </c>
      <c r="B26" s="86" t="n">
        <v>5</v>
      </c>
      <c r="C26" s="86" t="n">
        <v>4</v>
      </c>
      <c r="D26" s="86" t="n">
        <v>1</v>
      </c>
      <c r="E26" s="86" t="n">
        <v>2</v>
      </c>
      <c r="F26" s="86" t="n">
        <v>5</v>
      </c>
      <c r="G26" s="86" t="n">
        <v>2</v>
      </c>
    </row>
    <row r="27">
      <c r="A27" s="8" t="inlineStr">
        <is>
          <t>스쿠알란</t>
        </is>
      </c>
      <c r="B27" s="86" t="n">
        <v>4</v>
      </c>
      <c r="C27" s="86" t="n">
        <v>4</v>
      </c>
      <c r="D27" s="86" t="n">
        <v>2</v>
      </c>
      <c r="E27" s="86" t="n">
        <v>2</v>
      </c>
      <c r="F27" s="86" t="n">
        <v>5</v>
      </c>
      <c r="G27" s="86" t="n">
        <v>2</v>
      </c>
    </row>
    <row r="28">
      <c r="A28" s="8" t="inlineStr">
        <is>
          <t>MCT오일</t>
        </is>
      </c>
      <c r="B28" s="86" t="n">
        <v>4</v>
      </c>
      <c r="C28" s="86" t="n">
        <v>4</v>
      </c>
      <c r="D28" s="86" t="n">
        <v>2</v>
      </c>
      <c r="E28" s="86" t="n">
        <v>2</v>
      </c>
      <c r="F28" s="86" t="n">
        <v>5</v>
      </c>
      <c r="G28" s="86" t="n">
        <v>4</v>
      </c>
    </row>
    <row r="29">
      <c r="A29" s="8" t="inlineStr">
        <is>
          <t>C12-15 알킬벤조에이트</t>
        </is>
      </c>
      <c r="B29" s="86" t="n">
        <v>4</v>
      </c>
      <c r="C29" s="86" t="n">
        <v>4</v>
      </c>
      <c r="D29" s="86" t="n">
        <v>2</v>
      </c>
      <c r="E29" s="86" t="n">
        <v>2</v>
      </c>
      <c r="F29" s="86" t="n">
        <v>5</v>
      </c>
      <c r="G29" s="86" t="n">
        <v>3</v>
      </c>
    </row>
    <row r="30">
      <c r="A30" s="8" t="inlineStr">
        <is>
          <t>호호바오일</t>
        </is>
      </c>
      <c r="B30" s="86" t="n">
        <v>3</v>
      </c>
      <c r="C30" s="86" t="n">
        <v>3</v>
      </c>
      <c r="D30" s="86" t="n">
        <v>3</v>
      </c>
      <c r="E30" s="86" t="n">
        <v>3</v>
      </c>
      <c r="F30" s="86" t="n">
        <v>5</v>
      </c>
      <c r="G30" s="86" t="n">
        <v>4</v>
      </c>
    </row>
    <row r="31">
      <c r="A31" s="8" t="inlineStr">
        <is>
          <t>로즈힙오일</t>
        </is>
      </c>
      <c r="B31" s="86" t="n">
        <v>3</v>
      </c>
      <c r="C31" s="86" t="n">
        <v>4</v>
      </c>
      <c r="D31" s="86" t="n">
        <v>2</v>
      </c>
      <c r="E31" s="86" t="n">
        <v>2</v>
      </c>
      <c r="F31" s="86" t="n">
        <v>1</v>
      </c>
      <c r="G31" s="86" t="n">
        <v>2</v>
      </c>
    </row>
    <row r="32">
      <c r="A32" s="8" t="inlineStr">
        <is>
          <t>아르간오일</t>
        </is>
      </c>
      <c r="B32" s="86" t="n">
        <v>3</v>
      </c>
      <c r="C32" s="86" t="n">
        <v>3</v>
      </c>
      <c r="D32" s="86" t="n">
        <v>3</v>
      </c>
      <c r="E32" s="86" t="n">
        <v>3</v>
      </c>
      <c r="F32" s="86" t="n">
        <v>3</v>
      </c>
      <c r="G32" s="86" t="n">
        <v>2</v>
      </c>
    </row>
    <row r="33">
      <c r="A33" s="8" t="inlineStr">
        <is>
          <t>동백오일</t>
        </is>
      </c>
      <c r="B33" s="86" t="n">
        <v>3</v>
      </c>
      <c r="C33" s="86" t="n">
        <v>2</v>
      </c>
      <c r="D33" s="86" t="n">
        <v>3</v>
      </c>
      <c r="E33" s="86" t="n">
        <v>4</v>
      </c>
      <c r="F33" s="86" t="n">
        <v>3</v>
      </c>
      <c r="G33" s="86" t="n">
        <v>2</v>
      </c>
    </row>
    <row r="34">
      <c r="A34" s="8" t="inlineStr">
        <is>
          <t>해바라기씨유</t>
        </is>
      </c>
      <c r="B34" s="86" t="n">
        <v>3</v>
      </c>
      <c r="C34" s="86" t="n">
        <v>2</v>
      </c>
      <c r="D34" s="86" t="n">
        <v>3</v>
      </c>
      <c r="E34" s="86" t="n">
        <v>3</v>
      </c>
      <c r="F34" s="86" t="n">
        <v>2</v>
      </c>
      <c r="G34" s="86" t="n">
        <v>5</v>
      </c>
    </row>
    <row r="35">
      <c r="A35" s="8" t="inlineStr">
        <is>
          <t>미네랄오일/페트롤라툼</t>
        </is>
      </c>
      <c r="B35" s="86" t="n">
        <v>2</v>
      </c>
      <c r="C35" s="86" t="n">
        <v>1</v>
      </c>
      <c r="D35" s="86" t="n">
        <v>5</v>
      </c>
      <c r="E35" s="86" t="n">
        <v>4</v>
      </c>
      <c r="F35" s="86" t="n">
        <v>5</v>
      </c>
      <c r="G35" s="86" t="n">
        <v>5</v>
      </c>
    </row>
    <row r="36">
      <c r="A36" s="8" t="inlineStr">
        <is>
          <t>시어버터</t>
        </is>
      </c>
      <c r="B36" s="86" t="n">
        <v>1</v>
      </c>
      <c r="C36" s="86" t="n">
        <v>1</v>
      </c>
      <c r="D36" s="86" t="n">
        <v>5</v>
      </c>
      <c r="E36" s="86" t="n">
        <v>3</v>
      </c>
      <c r="F36" s="86" t="n">
        <v>4</v>
      </c>
      <c r="G36" s="86" t="n">
        <v>4</v>
      </c>
    </row>
    <row r="37">
      <c r="A37" s="8" t="inlineStr">
        <is>
          <t>디이소스테아릴말레이트</t>
        </is>
      </c>
      <c r="B37" s="86" t="n">
        <v>1</v>
      </c>
      <c r="C37" s="86" t="n">
        <v>1</v>
      </c>
      <c r="D37" s="86" t="n">
        <v>5</v>
      </c>
      <c r="E37" s="86" t="n">
        <v>5</v>
      </c>
      <c r="F37" s="86" t="n">
        <v>5</v>
      </c>
      <c r="G37" s="86" t="n">
        <v>2</v>
      </c>
    </row>
    <row r="38">
      <c r="A38" s="8" t="inlineStr">
        <is>
          <t>아이소프로필미리스테이트(IPM)</t>
        </is>
      </c>
      <c r="B38" s="86" t="n">
        <v>5</v>
      </c>
      <c r="C38" s="86" t="n">
        <v>5</v>
      </c>
      <c r="D38" s="86" t="n">
        <v>1</v>
      </c>
      <c r="E38" s="86" t="n">
        <v>1</v>
      </c>
      <c r="F38" s="86" t="n">
        <v>5</v>
      </c>
      <c r="G38" s="86" t="n">
        <v>4</v>
      </c>
    </row>
    <row r="39">
      <c r="A39" s="8" t="inlineStr">
        <is>
          <t>세틸에틸헥사노에이트</t>
        </is>
      </c>
      <c r="B39" s="86" t="n">
        <v>4</v>
      </c>
      <c r="C39" s="86" t="n">
        <v>4</v>
      </c>
      <c r="D39" s="86" t="n">
        <v>2</v>
      </c>
      <c r="E39" s="86" t="n">
        <v>2</v>
      </c>
      <c r="F39" s="86" t="n">
        <v>5</v>
      </c>
      <c r="G39" s="86" t="n">
        <v>3</v>
      </c>
    </row>
    <row r="40">
      <c r="A40" s="8" t="inlineStr">
        <is>
          <t>에틸헥실팔미테이트</t>
        </is>
      </c>
      <c r="B40" s="86" t="n">
        <v>4</v>
      </c>
      <c r="C40" s="86" t="n">
        <v>4</v>
      </c>
      <c r="D40" s="86" t="n">
        <v>2</v>
      </c>
      <c r="E40" s="86" t="n">
        <v>2</v>
      </c>
      <c r="F40" s="86" t="n">
        <v>5</v>
      </c>
      <c r="G40" s="86" t="n">
        <v>4</v>
      </c>
    </row>
    <row r="41">
      <c r="A41" s="8" t="inlineStr">
        <is>
          <t>옥틸도데칸올</t>
        </is>
      </c>
      <c r="B41" s="86" t="n">
        <v>3</v>
      </c>
      <c r="C41" s="86" t="n">
        <v>3</v>
      </c>
      <c r="D41" s="86" t="n">
        <v>3</v>
      </c>
      <c r="E41" s="86" t="n">
        <v>3</v>
      </c>
      <c r="F41" s="86" t="n">
        <v>5</v>
      </c>
      <c r="G41" s="86" t="n">
        <v>2</v>
      </c>
    </row>
    <row r="42">
      <c r="A42" s="8" t="inlineStr">
        <is>
          <t>하이드로제네이티드폴리데센</t>
        </is>
      </c>
      <c r="B42" s="86" t="n">
        <v>4</v>
      </c>
      <c r="C42" s="86" t="n">
        <v>4</v>
      </c>
      <c r="D42" s="86" t="n">
        <v>2</v>
      </c>
      <c r="E42" s="86" t="n">
        <v>2</v>
      </c>
      <c r="F42" s="86" t="n">
        <v>5</v>
      </c>
      <c r="G42" s="86" t="n">
        <v>3</v>
      </c>
    </row>
    <row r="43">
      <c r="A43" s="8" t="inlineStr">
        <is>
          <t>살구씨오일</t>
        </is>
      </c>
      <c r="B43" s="86" t="n">
        <v>4</v>
      </c>
      <c r="C43" s="86" t="n">
        <v>3</v>
      </c>
      <c r="D43" s="86" t="n">
        <v>2</v>
      </c>
      <c r="E43" s="86" t="n">
        <v>2</v>
      </c>
      <c r="F43" s="86" t="n">
        <v>3</v>
      </c>
      <c r="G43" s="86" t="n">
        <v>4</v>
      </c>
    </row>
    <row r="44">
      <c r="A44" s="8" t="inlineStr">
        <is>
          <t>스윗아몬드오일</t>
        </is>
      </c>
      <c r="B44" s="86" t="n">
        <v>3</v>
      </c>
      <c r="C44" s="86" t="n">
        <v>3</v>
      </c>
      <c r="D44" s="86" t="n">
        <v>3</v>
      </c>
      <c r="E44" s="86" t="n">
        <v>2</v>
      </c>
      <c r="F44" s="86" t="n">
        <v>3</v>
      </c>
      <c r="G44" s="86" t="n">
        <v>5</v>
      </c>
    </row>
    <row r="45">
      <c r="A45" s="8" t="inlineStr">
        <is>
          <t>마카다미아넛오일</t>
        </is>
      </c>
      <c r="B45" s="86" t="n">
        <v>3</v>
      </c>
      <c r="C45" s="86" t="n">
        <v>3</v>
      </c>
      <c r="D45" s="86" t="n">
        <v>3</v>
      </c>
      <c r="E45" s="86" t="n">
        <v>3</v>
      </c>
      <c r="F45" s="86" t="n">
        <v>4</v>
      </c>
      <c r="G45" s="86" t="n">
        <v>3</v>
      </c>
    </row>
    <row r="46">
      <c r="A46" s="8" t="inlineStr">
        <is>
          <t>녹차씨오일</t>
        </is>
      </c>
      <c r="B46" s="86" t="n">
        <v>4</v>
      </c>
      <c r="C46" s="86" t="n">
        <v>3</v>
      </c>
      <c r="D46" s="86" t="n">
        <v>2</v>
      </c>
      <c r="E46" s="86" t="n">
        <v>2</v>
      </c>
      <c r="F46" s="86" t="n">
        <v>3</v>
      </c>
      <c r="G46" s="86" t="n">
        <v>2</v>
      </c>
    </row>
    <row r="47">
      <c r="A47" s="8" t="inlineStr">
        <is>
          <t>달맞이종자오일</t>
        </is>
      </c>
      <c r="B47" s="86" t="n">
        <v>3</v>
      </c>
      <c r="C47" s="86" t="n">
        <v>4</v>
      </c>
      <c r="D47" s="86" t="n">
        <v>2</v>
      </c>
      <c r="E47" s="86" t="n">
        <v>2</v>
      </c>
      <c r="F47" s="86" t="n">
        <v>1</v>
      </c>
      <c r="G47" s="86" t="n">
        <v>2</v>
      </c>
    </row>
    <row r="48">
      <c r="A48" s="8" t="inlineStr">
        <is>
          <t>햄프씨드오일</t>
        </is>
      </c>
      <c r="B48" s="86" t="n">
        <v>3</v>
      </c>
      <c r="C48" s="86" t="n">
        <v>4</v>
      </c>
      <c r="D48" s="86" t="n">
        <v>2</v>
      </c>
      <c r="E48" s="86" t="n">
        <v>2</v>
      </c>
      <c r="F48" s="86" t="n">
        <v>1</v>
      </c>
      <c r="G48" s="86" t="n">
        <v>2</v>
      </c>
    </row>
    <row r="49">
      <c r="A49" s="8" t="inlineStr">
        <is>
          <t>올리브오일</t>
        </is>
      </c>
      <c r="B49" s="86" t="n">
        <v>2</v>
      </c>
      <c r="C49" s="86" t="n">
        <v>2</v>
      </c>
      <c r="D49" s="86" t="n">
        <v>4</v>
      </c>
      <c r="E49" s="86" t="n">
        <v>3</v>
      </c>
      <c r="F49" s="86" t="n">
        <v>3</v>
      </c>
      <c r="G49" s="86" t="n">
        <v>5</v>
      </c>
    </row>
    <row r="50">
      <c r="A50" s="8" t="inlineStr">
        <is>
          <t>아보카도오일</t>
        </is>
      </c>
      <c r="B50" s="86" t="n">
        <v>2</v>
      </c>
      <c r="C50" s="86" t="n">
        <v>2</v>
      </c>
      <c r="D50" s="86" t="n">
        <v>4</v>
      </c>
      <c r="E50" s="86" t="n">
        <v>3</v>
      </c>
      <c r="F50" s="86" t="n">
        <v>3</v>
      </c>
      <c r="G50" s="86" t="n">
        <v>3</v>
      </c>
    </row>
    <row r="51">
      <c r="A51" s="8" t="inlineStr">
        <is>
          <t>코코넛오일</t>
        </is>
      </c>
      <c r="B51" s="86" t="n">
        <v>3</v>
      </c>
      <c r="C51" s="86" t="n">
        <v>3</v>
      </c>
      <c r="D51" s="86" t="n">
        <v>3</v>
      </c>
      <c r="E51" s="86" t="n">
        <v>2</v>
      </c>
      <c r="F51" s="86" t="n">
        <v>5</v>
      </c>
      <c r="G51" s="86" t="n">
        <v>5</v>
      </c>
    </row>
    <row r="52">
      <c r="A52" s="8" t="inlineStr">
        <is>
          <t>마유(말 기름)</t>
        </is>
      </c>
      <c r="B52" s="86" t="n">
        <v>3</v>
      </c>
      <c r="C52" s="86" t="n">
        <v>4</v>
      </c>
      <c r="D52" s="86" t="n">
        <v>2</v>
      </c>
      <c r="E52" s="86" t="n">
        <v>2</v>
      </c>
      <c r="F52" s="86" t="n">
        <v>2</v>
      </c>
      <c r="G52" s="86" t="n">
        <v>3</v>
      </c>
    </row>
    <row r="53">
      <c r="A53" s="8" t="inlineStr">
        <is>
          <t>타마누오일</t>
        </is>
      </c>
      <c r="B53" s="86" t="n">
        <v>2</v>
      </c>
      <c r="C53" s="86" t="n">
        <v>2</v>
      </c>
      <c r="D53" s="86" t="n">
        <v>4</v>
      </c>
      <c r="E53" s="86" t="n">
        <v>3</v>
      </c>
      <c r="F53" s="86" t="n">
        <v>3</v>
      </c>
      <c r="G53" s="86" t="n">
        <v>2</v>
      </c>
    </row>
    <row r="54">
      <c r="A54" s="8" t="inlineStr">
        <is>
          <t>피마자오일</t>
        </is>
      </c>
      <c r="B54" s="86" t="n">
        <v>1</v>
      </c>
      <c r="C54" s="86" t="n">
        <v>1</v>
      </c>
      <c r="D54" s="86" t="n">
        <v>5</v>
      </c>
      <c r="E54" s="86" t="n">
        <v>5</v>
      </c>
      <c r="F54" s="86" t="n">
        <v>4</v>
      </c>
      <c r="G54" s="86" t="n">
        <v>5</v>
      </c>
    </row>
    <row r="55">
      <c r="A55" s="8" t="inlineStr">
        <is>
          <t>망고버터</t>
        </is>
      </c>
      <c r="B55" s="86" t="n">
        <v>2</v>
      </c>
      <c r="C55" s="86" t="n">
        <v>2</v>
      </c>
      <c r="D55" s="86" t="n">
        <v>4</v>
      </c>
      <c r="E55" s="86" t="n">
        <v>3</v>
      </c>
      <c r="F55" s="86" t="n">
        <v>4</v>
      </c>
      <c r="G55" s="86" t="n">
        <v>3</v>
      </c>
    </row>
    <row r="56">
      <c r="A56" s="8" t="inlineStr">
        <is>
          <t>코코아버터</t>
        </is>
      </c>
      <c r="B56" s="86" t="n">
        <v>1</v>
      </c>
      <c r="C56" s="86" t="n">
        <v>1</v>
      </c>
      <c r="D56" s="86" t="n">
        <v>5</v>
      </c>
      <c r="E56" s="86" t="n">
        <v>3</v>
      </c>
      <c r="F56" s="86" t="n">
        <v>5</v>
      </c>
      <c r="G56" s="86" t="n">
        <v>3</v>
      </c>
    </row>
    <row r="57">
      <c r="A57" s="8" t="inlineStr">
        <is>
          <t>코포아수버터</t>
        </is>
      </c>
      <c r="B57" s="86" t="n">
        <v>2</v>
      </c>
      <c r="C57" s="86" t="n">
        <v>2</v>
      </c>
      <c r="D57" s="86" t="n">
        <v>4</v>
      </c>
      <c r="E57" s="86" t="n">
        <v>2</v>
      </c>
      <c r="F57" s="86" t="n">
        <v>4</v>
      </c>
      <c r="G57" s="86" t="n">
        <v>2</v>
      </c>
    </row>
    <row r="59">
      <c r="A59" s="85" t="inlineStr">
        <is>
          <t>■ 왁스·경화(밤·립)</t>
        </is>
      </c>
    </row>
    <row r="60">
      <c r="A60" s="7" t="inlineStr">
        <is>
          <t>원료</t>
        </is>
      </c>
      <c r="B60" s="7" t="inlineStr">
        <is>
          <t>경도(같은 %)</t>
        </is>
      </c>
      <c r="C60" s="7" t="inlineStr">
        <is>
          <t>끈적임</t>
        </is>
      </c>
      <c r="D60" s="7" t="inlineStr">
        <is>
          <t>광택</t>
        </is>
      </c>
      <c r="E60" s="7" t="inlineStr">
        <is>
          <t>녹는점(5=높음)</t>
        </is>
      </c>
      <c r="F60" s="7" t="inlineStr">
        <is>
          <t>비건</t>
        </is>
      </c>
      <c r="G60" s="7" t="inlineStr">
        <is>
          <t>가격 접근</t>
        </is>
      </c>
    </row>
    <row r="61">
      <c r="A61" s="8" t="inlineStr">
        <is>
          <t>칸데릴라왁스</t>
        </is>
      </c>
      <c r="B61" s="86" t="n">
        <v>5</v>
      </c>
      <c r="C61" s="86" t="n">
        <v>2</v>
      </c>
      <c r="D61" s="86" t="n">
        <v>4</v>
      </c>
      <c r="E61" s="86" t="n">
        <v>4</v>
      </c>
      <c r="F61" s="86" t="n">
        <v>5</v>
      </c>
      <c r="G61" s="86" t="n">
        <v>3</v>
      </c>
    </row>
    <row r="62">
      <c r="A62" s="8" t="inlineStr">
        <is>
          <t>밀랍(비즈왁스)</t>
        </is>
      </c>
      <c r="B62" s="86" t="n">
        <v>3</v>
      </c>
      <c r="C62" s="86" t="n">
        <v>4</v>
      </c>
      <c r="D62" s="86" t="n">
        <v>2</v>
      </c>
      <c r="E62" s="86" t="n">
        <v>3</v>
      </c>
      <c r="F62" s="86" t="n">
        <v>1</v>
      </c>
      <c r="G62" s="86" t="n">
        <v>4</v>
      </c>
    </row>
    <row r="63">
      <c r="A63" s="8" t="inlineStr">
        <is>
          <t>코코아버터</t>
        </is>
      </c>
      <c r="B63" s="86" t="n">
        <v>3</v>
      </c>
      <c r="C63" s="86" t="n">
        <v>1</v>
      </c>
      <c r="D63" s="86" t="n">
        <v>2</v>
      </c>
      <c r="E63" s="86" t="n">
        <v>2</v>
      </c>
      <c r="F63" s="86" t="n">
        <v>5</v>
      </c>
      <c r="G63" s="86" t="n">
        <v>3</v>
      </c>
    </row>
    <row r="64">
      <c r="A64" s="8" t="inlineStr">
        <is>
          <t>시어버터</t>
        </is>
      </c>
      <c r="B64" s="86" t="n">
        <v>2</v>
      </c>
      <c r="C64" s="86" t="n">
        <v>2</v>
      </c>
      <c r="D64" s="86" t="n">
        <v>1</v>
      </c>
      <c r="E64" s="86" t="n">
        <v>1</v>
      </c>
      <c r="F64" s="86" t="n">
        <v>5</v>
      </c>
      <c r="G64" s="86" t="n">
        <v>4</v>
      </c>
    </row>
    <row r="65">
      <c r="A65" s="8" t="inlineStr">
        <is>
          <t>세틸알코올</t>
        </is>
      </c>
      <c r="B65" s="86" t="n">
        <v>3</v>
      </c>
      <c r="C65" s="86" t="n">
        <v>1</v>
      </c>
      <c r="D65" s="86" t="n">
        <v>1</v>
      </c>
      <c r="E65" s="86" t="n">
        <v>2</v>
      </c>
      <c r="F65" s="86" t="n">
        <v>5</v>
      </c>
      <c r="G65" s="86" t="n">
        <v>5</v>
      </c>
    </row>
    <row r="66">
      <c r="A66" s="8" t="inlineStr">
        <is>
          <t>식물성 바세린(에코바세린)</t>
        </is>
      </c>
      <c r="B66" s="86" t="n">
        <v>2</v>
      </c>
      <c r="C66" s="86" t="n">
        <v>5</v>
      </c>
      <c r="D66" s="86" t="n">
        <v>3</v>
      </c>
      <c r="E66" s="86" t="n">
        <v>2</v>
      </c>
      <c r="F66" s="86" t="n">
        <v>5</v>
      </c>
      <c r="G66" s="86" t="n">
        <v>3</v>
      </c>
    </row>
    <row r="68">
      <c r="A68" s="85" t="inlineStr">
        <is>
          <t>■ 점증제</t>
        </is>
      </c>
    </row>
    <row r="69">
      <c r="A69" s="7" t="inlineStr">
        <is>
          <t>원료</t>
        </is>
      </c>
      <c r="B69" s="7" t="inlineStr">
        <is>
          <t>점증력(같은 %)</t>
        </is>
      </c>
      <c r="C69" s="7" t="inlineStr">
        <is>
          <t>투명도</t>
        </is>
      </c>
      <c r="D69" s="7" t="inlineStr">
        <is>
          <t>실끈·끈적</t>
        </is>
      </c>
      <c r="E69" s="7" t="inlineStr">
        <is>
          <t>전해질 내성</t>
        </is>
      </c>
      <c r="F69" s="7" t="inlineStr">
        <is>
          <t>다루기 쉬움</t>
        </is>
      </c>
      <c r="G69" s="7" t="inlineStr">
        <is>
          <t>가격 접근</t>
        </is>
      </c>
    </row>
    <row r="70">
      <c r="A70" s="8" t="inlineStr">
        <is>
          <t>잔탄검</t>
        </is>
      </c>
      <c r="B70" s="86" t="n">
        <v>4</v>
      </c>
      <c r="C70" s="86" t="n">
        <v>2</v>
      </c>
      <c r="D70" s="86" t="n">
        <v>4</v>
      </c>
      <c r="E70" s="86" t="n">
        <v>5</v>
      </c>
      <c r="F70" s="86" t="n">
        <v>4</v>
      </c>
      <c r="G70" s="86" t="n">
        <v>5</v>
      </c>
    </row>
    <row r="71">
      <c r="A71" s="8" t="inlineStr">
        <is>
          <t>카보머</t>
        </is>
      </c>
      <c r="B71" s="86" t="n">
        <v>5</v>
      </c>
      <c r="C71" s="86" t="n">
        <v>5</v>
      </c>
      <c r="D71" s="86" t="n">
        <v>1</v>
      </c>
      <c r="E71" s="86" t="n">
        <v>1</v>
      </c>
      <c r="F71" s="86" t="n">
        <v>3</v>
      </c>
      <c r="G71" s="86" t="n">
        <v>4</v>
      </c>
    </row>
    <row r="72">
      <c r="A72" s="8" t="inlineStr">
        <is>
          <t>하이드록시에틸셀룰로오스(HEC)</t>
        </is>
      </c>
      <c r="B72" s="86" t="n">
        <v>3</v>
      </c>
      <c r="C72" s="86" t="n">
        <v>4</v>
      </c>
      <c r="D72" s="86" t="n">
        <v>2</v>
      </c>
      <c r="E72" s="86" t="n">
        <v>5</v>
      </c>
      <c r="F72" s="86" t="n">
        <v>3</v>
      </c>
      <c r="G72" s="86" t="n">
        <v>3</v>
      </c>
    </row>
    <row r="73">
      <c r="A73" s="8" t="inlineStr">
        <is>
          <t>스클레로튬검</t>
        </is>
      </c>
      <c r="B73" s="86" t="n">
        <v>3</v>
      </c>
      <c r="C73" s="86" t="n">
        <v>3</v>
      </c>
      <c r="D73" s="86" t="n">
        <v>2</v>
      </c>
      <c r="E73" s="86" t="n">
        <v>5</v>
      </c>
      <c r="F73" s="86" t="n">
        <v>3</v>
      </c>
      <c r="G73" s="86" t="n">
        <v>2</v>
      </c>
    </row>
    <row r="74">
      <c r="A74" s="8" t="inlineStr">
        <is>
          <t>세피노브 EMT10</t>
        </is>
      </c>
      <c r="B74" s="86" t="n">
        <v>4</v>
      </c>
      <c r="C74" s="86" t="n">
        <v>4</v>
      </c>
      <c r="D74" s="86" t="n">
        <v>1</v>
      </c>
      <c r="E74" s="86" t="n">
        <v>4</v>
      </c>
      <c r="F74" s="86" t="n">
        <v>5</v>
      </c>
      <c r="G74" s="86" t="n">
        <v>2</v>
      </c>
    </row>
    <row r="75">
      <c r="A75" s="8" t="inlineStr">
        <is>
          <t>Ultrez 20 (카보머 차세대)</t>
        </is>
      </c>
      <c r="B75" s="86" t="n">
        <v>5</v>
      </c>
      <c r="C75" s="86" t="n">
        <v>5</v>
      </c>
      <c r="D75" s="86" t="n">
        <v>1</v>
      </c>
      <c r="E75" s="86" t="n">
        <v>2</v>
      </c>
      <c r="F75" s="86" t="n">
        <v>4</v>
      </c>
      <c r="G75" s="86" t="n">
        <v>2</v>
      </c>
    </row>
    <row r="76">
      <c r="A76" s="8" t="inlineStr">
        <is>
          <t>소듐폴리아크릴레이트</t>
        </is>
      </c>
      <c r="B76" s="86" t="n">
        <v>4</v>
      </c>
      <c r="C76" s="86" t="n">
        <v>4</v>
      </c>
      <c r="D76" s="86" t="n">
        <v>1</v>
      </c>
      <c r="E76" s="86" t="n">
        <v>1</v>
      </c>
      <c r="F76" s="86" t="n">
        <v>5</v>
      </c>
      <c r="G76" s="86" t="n">
        <v>3</v>
      </c>
    </row>
    <row r="77">
      <c r="A77" s="8" t="inlineStr">
        <is>
          <t>셀룰로오스검(CMC)</t>
        </is>
      </c>
      <c r="B77" s="86" t="n">
        <v>3</v>
      </c>
      <c r="C77" s="86" t="n">
        <v>3</v>
      </c>
      <c r="D77" s="86" t="n">
        <v>3</v>
      </c>
      <c r="E77" s="86" t="n">
        <v>3</v>
      </c>
      <c r="F77" s="86" t="n">
        <v>3</v>
      </c>
      <c r="G77" s="86" t="n">
        <v>4</v>
      </c>
    </row>
    <row r="78">
      <c r="A78" s="8" t="inlineStr">
        <is>
          <t>마그네슘알루미늄실리케이트(Veegum)</t>
        </is>
      </c>
      <c r="B78" s="86" t="n">
        <v>2</v>
      </c>
      <c r="C78" s="86" t="n">
        <v>1</v>
      </c>
      <c r="D78" s="86" t="n">
        <v>1</v>
      </c>
      <c r="E78" s="86" t="n">
        <v>3</v>
      </c>
      <c r="F78" s="86" t="n">
        <v>2</v>
      </c>
      <c r="G78" s="86" t="n">
        <v>3</v>
      </c>
    </row>
    <row r="79">
      <c r="A79" s="8" t="inlineStr">
        <is>
          <t>하이드록시프로필구아</t>
        </is>
      </c>
      <c r="B79" s="86" t="n">
        <v>3</v>
      </c>
      <c r="C79" s="86" t="n">
        <v>2</v>
      </c>
      <c r="D79" s="86" t="n">
        <v>3</v>
      </c>
      <c r="E79" s="86" t="n">
        <v>4</v>
      </c>
      <c r="F79" s="86" t="n">
        <v>3</v>
      </c>
      <c r="G79" s="86" t="n">
        <v>3</v>
      </c>
    </row>
    <row r="81">
      <c r="A81" s="85" t="inlineStr">
        <is>
          <t>■ 유화제</t>
        </is>
      </c>
    </row>
    <row r="82">
      <c r="A82" s="7" t="inlineStr">
        <is>
          <t>원료</t>
        </is>
      </c>
      <c r="B82" s="7" t="inlineStr">
        <is>
          <t>유화 안정성</t>
        </is>
      </c>
      <c r="C82" s="7" t="inlineStr">
        <is>
          <t>바디·쫀쫀함</t>
        </is>
      </c>
      <c r="D82" s="7" t="inlineStr">
        <is>
          <t>산뜻함</t>
        </is>
      </c>
      <c r="E82" s="7" t="inlineStr">
        <is>
          <t>천연 포지션</t>
        </is>
      </c>
      <c r="F82" s="7" t="inlineStr">
        <is>
          <t>다루기 쉬움</t>
        </is>
      </c>
      <c r="G82" s="7" t="inlineStr">
        <is>
          <t>가격 접근</t>
        </is>
      </c>
    </row>
    <row r="83">
      <c r="A83" s="8" t="inlineStr">
        <is>
          <t>몬타노브68</t>
        </is>
      </c>
      <c r="B83" s="86" t="n">
        <v>5</v>
      </c>
      <c r="C83" s="86" t="n">
        <v>5</v>
      </c>
      <c r="D83" s="86" t="n">
        <v>2</v>
      </c>
      <c r="E83" s="86" t="n">
        <v>4</v>
      </c>
      <c r="F83" s="86" t="n">
        <v>3</v>
      </c>
      <c r="G83" s="86" t="n">
        <v>3</v>
      </c>
    </row>
    <row r="84">
      <c r="A84" s="8" t="inlineStr">
        <is>
          <t>올리브유화왁스(올리벰1000)</t>
        </is>
      </c>
      <c r="B84" s="86" t="n">
        <v>4</v>
      </c>
      <c r="C84" s="86" t="n">
        <v>3</v>
      </c>
      <c r="D84" s="86" t="n">
        <v>4</v>
      </c>
      <c r="E84" s="86" t="n">
        <v>5</v>
      </c>
      <c r="F84" s="86" t="n">
        <v>3</v>
      </c>
      <c r="G84" s="86" t="n">
        <v>4</v>
      </c>
    </row>
    <row r="85">
      <c r="A85" s="8" t="inlineStr">
        <is>
          <t>폴라왁스(이멀시파잉 왁스 NF)</t>
        </is>
      </c>
      <c r="B85" s="86" t="n">
        <v>5</v>
      </c>
      <c r="C85" s="86" t="n">
        <v>4</v>
      </c>
      <c r="D85" s="86" t="n">
        <v>3</v>
      </c>
      <c r="E85" s="86" t="n">
        <v>1</v>
      </c>
      <c r="F85" s="86" t="n">
        <v>5</v>
      </c>
      <c r="G85" s="86" t="n">
        <v>4</v>
      </c>
    </row>
    <row r="86">
      <c r="A86" s="8" t="inlineStr">
        <is>
          <t>GMS SE</t>
        </is>
      </c>
      <c r="B86" s="86" t="n">
        <v>3</v>
      </c>
      <c r="C86" s="86" t="n">
        <v>4</v>
      </c>
      <c r="D86" s="86" t="n">
        <v>3</v>
      </c>
      <c r="E86" s="86" t="n">
        <v>4</v>
      </c>
      <c r="F86" s="86" t="n">
        <v>4</v>
      </c>
      <c r="G86" s="86" t="n">
        <v>4</v>
      </c>
    </row>
    <row r="87">
      <c r="A87" s="8" t="inlineStr">
        <is>
          <t>Tego Care 450</t>
        </is>
      </c>
      <c r="B87" s="86" t="n">
        <v>4</v>
      </c>
      <c r="C87" s="86" t="n">
        <v>2</v>
      </c>
      <c r="D87" s="86" t="n">
        <v>5</v>
      </c>
      <c r="E87" s="86" t="n">
        <v>4</v>
      </c>
      <c r="F87" s="86" t="n">
        <v>3</v>
      </c>
      <c r="G87" s="86" t="n">
        <v>2</v>
      </c>
    </row>
    <row r="88">
      <c r="A88" s="8" t="inlineStr">
        <is>
          <t>레시틴</t>
        </is>
      </c>
      <c r="B88" s="86" t="n">
        <v>2</v>
      </c>
      <c r="C88" s="86" t="n">
        <v>2</v>
      </c>
      <c r="D88" s="86" t="n">
        <v>3</v>
      </c>
      <c r="E88" s="86" t="n">
        <v>5</v>
      </c>
      <c r="F88" s="86" t="n">
        <v>2</v>
      </c>
      <c r="G88" s="86" t="n">
        <v>3</v>
      </c>
    </row>
    <row r="89">
      <c r="A89" s="8" t="inlineStr">
        <is>
          <t>세틸알코올</t>
        </is>
      </c>
      <c r="B89" s="86" t="n">
        <v>1</v>
      </c>
      <c r="C89" s="86" t="n">
        <v>5</v>
      </c>
      <c r="D89" s="86" t="n">
        <v>2</v>
      </c>
      <c r="E89" s="86" t="n">
        <v>4</v>
      </c>
      <c r="F89" s="86" t="n">
        <v>5</v>
      </c>
      <c r="G89" s="86" t="n">
        <v>5</v>
      </c>
    </row>
    <row r="90">
      <c r="A90" s="8" t="inlineStr">
        <is>
          <t>세테아릴알코올</t>
        </is>
      </c>
      <c r="B90" s="86" t="n">
        <v>1</v>
      </c>
      <c r="C90" s="86" t="n">
        <v>5</v>
      </c>
      <c r="D90" s="86" t="n">
        <v>2</v>
      </c>
      <c r="E90" s="86" t="n">
        <v>4</v>
      </c>
      <c r="F90" s="86" t="n">
        <v>5</v>
      </c>
      <c r="G90" s="86" t="n">
        <v>5</v>
      </c>
    </row>
    <row r="91">
      <c r="A91" s="8" t="inlineStr">
        <is>
          <t>글리세릴스테아레이트시트레이트</t>
        </is>
      </c>
      <c r="B91" s="86" t="n">
        <v>4</v>
      </c>
      <c r="C91" s="86" t="n">
        <v>3</v>
      </c>
      <c r="D91" s="86" t="n">
        <v>4</v>
      </c>
      <c r="E91" s="86" t="n">
        <v>4</v>
      </c>
      <c r="F91" s="86" t="n">
        <v>3</v>
      </c>
      <c r="G91" s="86" t="n">
        <v>2</v>
      </c>
    </row>
    <row r="92">
      <c r="A92" s="8" t="inlineStr">
        <is>
          <t>GMS (글리세릴스테아레이트)</t>
        </is>
      </c>
      <c r="B92" s="86" t="n">
        <v>2</v>
      </c>
      <c r="C92" s="86" t="n">
        <v>4</v>
      </c>
      <c r="D92" s="86" t="n">
        <v>3</v>
      </c>
      <c r="E92" s="86" t="n">
        <v>4</v>
      </c>
      <c r="F92" s="86" t="n">
        <v>4</v>
      </c>
      <c r="G92" s="86" t="n">
        <v>4</v>
      </c>
    </row>
    <row r="93">
      <c r="A93" s="8" t="inlineStr">
        <is>
          <t>올리왁스LC</t>
        </is>
      </c>
      <c r="B93" s="86" t="n">
        <v>2</v>
      </c>
      <c r="C93" s="86" t="n">
        <v>4</v>
      </c>
      <c r="D93" s="86" t="n">
        <v>3</v>
      </c>
      <c r="E93" s="86" t="n">
        <v>4</v>
      </c>
      <c r="F93" s="86" t="n">
        <v>4</v>
      </c>
      <c r="G93" s="86" t="n">
        <v>3</v>
      </c>
    </row>
    <row r="94">
      <c r="A94" s="8" t="inlineStr">
        <is>
          <t>BTMS-50</t>
        </is>
      </c>
      <c r="B94" s="86" t="n">
        <v>4</v>
      </c>
      <c r="C94" s="86" t="n">
        <v>4</v>
      </c>
      <c r="D94" s="86" t="n">
        <v>3</v>
      </c>
      <c r="E94" s="86" t="n">
        <v>2</v>
      </c>
      <c r="F94" s="86" t="n">
        <v>4</v>
      </c>
      <c r="G94" s="86" t="n">
        <v>3</v>
      </c>
    </row>
    <row r="95">
      <c r="A95" s="8" t="inlineStr">
        <is>
          <t>포타슘세틸포스페이트</t>
        </is>
      </c>
      <c r="B95" s="86" t="n">
        <v>4</v>
      </c>
      <c r="C95" s="86" t="n">
        <v>2</v>
      </c>
      <c r="D95" s="86" t="n">
        <v>4</v>
      </c>
      <c r="E95" s="86" t="n">
        <v>2</v>
      </c>
      <c r="F95" s="86" t="n">
        <v>2</v>
      </c>
      <c r="G95" s="86" t="n">
        <v>1</v>
      </c>
    </row>
    <row r="97">
      <c r="A97" s="85" t="inlineStr">
        <is>
          <t>■ 실리콘·감촉</t>
        </is>
      </c>
    </row>
    <row r="98">
      <c r="A98" s="7" t="inlineStr">
        <is>
          <t>원료</t>
        </is>
      </c>
      <c r="B98" s="7" t="inlineStr">
        <is>
          <t>슬립(미끄러짐)</t>
        </is>
      </c>
      <c r="C98" s="7" t="inlineStr">
        <is>
          <t>보송함</t>
        </is>
      </c>
      <c r="D98" s="7" t="inlineStr">
        <is>
          <t>광택</t>
        </is>
      </c>
      <c r="E98" s="7" t="inlineStr">
        <is>
          <t>휘발</t>
        </is>
      </c>
      <c r="F98" s="7" t="inlineStr">
        <is>
          <t>끈적임 마스킹</t>
        </is>
      </c>
    </row>
    <row r="99">
      <c r="A99" s="8" t="inlineStr">
        <is>
          <t>디메치콘</t>
        </is>
      </c>
      <c r="B99" s="86" t="n">
        <v>5</v>
      </c>
      <c r="C99" s="86" t="n">
        <v>4</v>
      </c>
      <c r="D99" s="86" t="n">
        <v>3</v>
      </c>
      <c r="E99" s="86" t="n">
        <v>1</v>
      </c>
      <c r="F99" s="86" t="n">
        <v>5</v>
      </c>
    </row>
    <row r="100">
      <c r="A100" s="8" t="inlineStr">
        <is>
          <t>사이클로펜타실록산(D5)</t>
        </is>
      </c>
      <c r="B100" s="86" t="n">
        <v>5</v>
      </c>
      <c r="C100" s="86" t="n">
        <v>5</v>
      </c>
      <c r="D100" s="86" t="n">
        <v>1</v>
      </c>
      <c r="E100" s="86" t="n">
        <v>5</v>
      </c>
      <c r="F100" s="86" t="n">
        <v>3</v>
      </c>
    </row>
    <row r="101">
      <c r="A101" s="8" t="inlineStr">
        <is>
          <t>디메치콘크로스폴리머</t>
        </is>
      </c>
      <c r="B101" s="86" t="n">
        <v>4</v>
      </c>
      <c r="C101" s="86" t="n">
        <v>5</v>
      </c>
      <c r="D101" s="86" t="n">
        <v>1</v>
      </c>
      <c r="E101" s="86" t="n">
        <v>1</v>
      </c>
      <c r="F101" s="86" t="n">
        <v>4</v>
      </c>
    </row>
    <row r="102">
      <c r="A102" s="8" t="inlineStr">
        <is>
          <t>페닐트리메치콘</t>
        </is>
      </c>
      <c r="B102" s="86" t="n">
        <v>5</v>
      </c>
      <c r="C102" s="86" t="n">
        <v>2</v>
      </c>
      <c r="D102" s="86" t="n">
        <v>5</v>
      </c>
      <c r="E102" s="86" t="n">
        <v>1</v>
      </c>
      <c r="F102" s="86" t="n">
        <v>3</v>
      </c>
    </row>
    <row r="103">
      <c r="A103" s="8" t="inlineStr">
        <is>
          <t>코코-카프릴레이트/카프레이트</t>
        </is>
      </c>
      <c r="B103" s="86" t="n">
        <v>4</v>
      </c>
      <c r="C103" s="86" t="n">
        <v>4</v>
      </c>
      <c r="D103" s="86" t="n">
        <v>2</v>
      </c>
      <c r="E103" s="86" t="n">
        <v>2</v>
      </c>
      <c r="F103" s="86" t="n">
        <v>3</v>
      </c>
    </row>
    <row r="104">
      <c r="A104" s="8" t="inlineStr">
        <is>
          <t>실리카</t>
        </is>
      </c>
      <c r="B104" s="86" t="n">
        <v>2</v>
      </c>
      <c r="C104" s="86" t="n">
        <v>5</v>
      </c>
      <c r="D104" s="86" t="n">
        <v>1</v>
      </c>
      <c r="E104" s="86" t="n">
        <v>1</v>
      </c>
      <c r="F104" s="86" t="n">
        <v>4</v>
      </c>
    </row>
    <row r="105">
      <c r="A105" s="8" t="inlineStr">
        <is>
          <t>아모다이메치콘</t>
        </is>
      </c>
      <c r="B105" s="86" t="n">
        <v>4</v>
      </c>
      <c r="C105" s="86" t="n">
        <v>2</v>
      </c>
      <c r="D105" s="86" t="n">
        <v>4</v>
      </c>
      <c r="E105" s="86" t="n">
        <v>1</v>
      </c>
      <c r="F105" s="86" t="n">
        <v>2</v>
      </c>
    </row>
    <row r="106">
      <c r="A106" s="8" t="inlineStr">
        <is>
          <t>보론나이트라이드</t>
        </is>
      </c>
      <c r="B106" s="86" t="n">
        <v>5</v>
      </c>
      <c r="C106" s="86" t="n">
        <v>4</v>
      </c>
      <c r="D106" s="86" t="n">
        <v>3</v>
      </c>
      <c r="E106" s="86" t="n">
        <v>1</v>
      </c>
      <c r="F106" s="86" t="n">
        <v>3</v>
      </c>
    </row>
    <row r="108">
      <c r="A108" s="85" t="inlineStr">
        <is>
          <t>■ 계면활성제(세정)</t>
        </is>
      </c>
    </row>
    <row r="109">
      <c r="A109" s="7" t="inlineStr">
        <is>
          <t>원료</t>
        </is>
      </c>
      <c r="B109" s="7" t="inlineStr">
        <is>
          <t>세정력</t>
        </is>
      </c>
      <c r="C109" s="7" t="inlineStr">
        <is>
          <t>거품량</t>
        </is>
      </c>
      <c r="D109" s="7" t="inlineStr">
        <is>
          <t>순함</t>
        </is>
      </c>
      <c r="E109" s="7" t="inlineStr">
        <is>
          <t>점도 내기 쉬움</t>
        </is>
      </c>
      <c r="F109" s="7" t="inlineStr">
        <is>
          <t>천연 포지션</t>
        </is>
      </c>
      <c r="G109" s="7" t="inlineStr">
        <is>
          <t>가격 접근</t>
        </is>
      </c>
    </row>
    <row r="110">
      <c r="A110" s="8" t="inlineStr">
        <is>
          <t>소듐라우레스설페이트(SLES)</t>
        </is>
      </c>
      <c r="B110" s="86" t="n">
        <v>5</v>
      </c>
      <c r="C110" s="86" t="n">
        <v>5</v>
      </c>
      <c r="D110" s="86" t="n">
        <v>1</v>
      </c>
      <c r="E110" s="86" t="n">
        <v>5</v>
      </c>
      <c r="F110" s="86" t="n">
        <v>1</v>
      </c>
      <c r="G110" s="86" t="n">
        <v>5</v>
      </c>
    </row>
    <row r="111">
      <c r="A111" s="8" t="inlineStr">
        <is>
          <t>SLSA</t>
        </is>
      </c>
      <c r="B111" s="86" t="n">
        <v>4</v>
      </c>
      <c r="C111" s="86" t="n">
        <v>5</v>
      </c>
      <c r="D111" s="86" t="n">
        <v>3</v>
      </c>
      <c r="E111" s="86" t="n">
        <v>3</v>
      </c>
      <c r="F111" s="86" t="n">
        <v>3</v>
      </c>
      <c r="G111" s="86" t="n">
        <v>4</v>
      </c>
    </row>
    <row r="112">
      <c r="A112" s="8" t="inlineStr">
        <is>
          <t>소듐코코일이세티오네이트(SCI)</t>
        </is>
      </c>
      <c r="B112" s="86" t="n">
        <v>4</v>
      </c>
      <c r="C112" s="86" t="n">
        <v>4</v>
      </c>
      <c r="D112" s="86" t="n">
        <v>4</v>
      </c>
      <c r="E112" s="86" t="n">
        <v>3</v>
      </c>
      <c r="F112" s="86" t="n">
        <v>3</v>
      </c>
      <c r="G112" s="86" t="n">
        <v>3</v>
      </c>
    </row>
    <row r="113">
      <c r="A113" s="8" t="inlineStr">
        <is>
          <t>소듐라우로일메틸이세티오네이트(SLMI)</t>
        </is>
      </c>
      <c r="B113" s="86" t="n">
        <v>3</v>
      </c>
      <c r="C113" s="86" t="n">
        <v>4</v>
      </c>
      <c r="D113" s="86" t="n">
        <v>4</v>
      </c>
      <c r="E113" s="86" t="n">
        <v>3</v>
      </c>
      <c r="F113" s="86" t="n">
        <v>3</v>
      </c>
      <c r="G113" s="86" t="n">
        <v>2</v>
      </c>
    </row>
    <row r="114">
      <c r="A114" s="8" t="inlineStr">
        <is>
          <t>소듐라우로일사코시네이트</t>
        </is>
      </c>
      <c r="B114" s="86" t="n">
        <v>4</v>
      </c>
      <c r="C114" s="86" t="n">
        <v>5</v>
      </c>
      <c r="D114" s="86" t="n">
        <v>3</v>
      </c>
      <c r="E114" s="86" t="n">
        <v>3</v>
      </c>
      <c r="F114" s="86" t="n">
        <v>2</v>
      </c>
      <c r="G114" s="86" t="n">
        <v>3</v>
      </c>
    </row>
    <row r="115">
      <c r="A115" s="8" t="inlineStr">
        <is>
          <t>애플계면활성제</t>
        </is>
      </c>
      <c r="B115" s="86" t="n">
        <v>3</v>
      </c>
      <c r="C115" s="86" t="n">
        <v>3</v>
      </c>
      <c r="D115" s="86" t="n">
        <v>5</v>
      </c>
      <c r="E115" s="86" t="n">
        <v>1</v>
      </c>
      <c r="F115" s="86" t="n">
        <v>4</v>
      </c>
      <c r="G115" s="86" t="n">
        <v>2</v>
      </c>
    </row>
    <row r="116">
      <c r="A116" s="8" t="inlineStr">
        <is>
          <t>소듐코코일글루타메이트</t>
        </is>
      </c>
      <c r="B116" s="86" t="n">
        <v>3</v>
      </c>
      <c r="C116" s="86" t="n">
        <v>3</v>
      </c>
      <c r="D116" s="86" t="n">
        <v>5</v>
      </c>
      <c r="E116" s="86" t="n">
        <v>1</v>
      </c>
      <c r="F116" s="86" t="n">
        <v>4</v>
      </c>
      <c r="G116" s="86" t="n">
        <v>2</v>
      </c>
    </row>
    <row r="117">
      <c r="A117" s="8" t="inlineStr">
        <is>
          <t>코카미도프로필베타인(CAPB)</t>
        </is>
      </c>
      <c r="B117" s="86" t="n">
        <v>2</v>
      </c>
      <c r="C117" s="86" t="n">
        <v>4</v>
      </c>
      <c r="D117" s="86" t="n">
        <v>4</v>
      </c>
      <c r="E117" s="86" t="n">
        <v>4</v>
      </c>
      <c r="F117" s="86" t="n">
        <v>3</v>
      </c>
      <c r="G117" s="86" t="n">
        <v>5</v>
      </c>
    </row>
    <row r="118">
      <c r="A118" s="8" t="inlineStr">
        <is>
          <t>데실글루코사이드</t>
        </is>
      </c>
      <c r="B118" s="86" t="n">
        <v>3</v>
      </c>
      <c r="C118" s="86" t="n">
        <v>3</v>
      </c>
      <c r="D118" s="86" t="n">
        <v>4</v>
      </c>
      <c r="E118" s="86" t="n">
        <v>1</v>
      </c>
      <c r="F118" s="86" t="n">
        <v>5</v>
      </c>
      <c r="G118" s="86" t="n">
        <v>4</v>
      </c>
    </row>
    <row r="119">
      <c r="A119" s="8" t="inlineStr">
        <is>
          <t>코코글루코사이드</t>
        </is>
      </c>
      <c r="B119" s="86" t="n">
        <v>3</v>
      </c>
      <c r="C119" s="86" t="n">
        <v>3</v>
      </c>
      <c r="D119" s="86" t="n">
        <v>4</v>
      </c>
      <c r="E119" s="86" t="n">
        <v>1</v>
      </c>
      <c r="F119" s="86" t="n">
        <v>5</v>
      </c>
      <c r="G119" s="86" t="n">
        <v>4</v>
      </c>
    </row>
    <row r="121">
      <c r="A121" s="85" t="inlineStr">
        <is>
          <t>■ 방부 시스템</t>
        </is>
      </c>
    </row>
    <row r="122">
      <c r="A122" s="7" t="inlineStr">
        <is>
          <t>원료</t>
        </is>
      </c>
      <c r="B122" s="7" t="inlineStr">
        <is>
          <t>세균</t>
        </is>
      </c>
      <c r="C122" s="7" t="inlineStr">
        <is>
          <t>곰팡이</t>
        </is>
      </c>
      <c r="D122" s="7" t="inlineStr">
        <is>
          <t>pH 범위 넓음</t>
        </is>
      </c>
      <c r="E122" s="7" t="inlineStr">
        <is>
          <t>천연 인증 친화</t>
        </is>
      </c>
      <c r="F122" s="7" t="inlineStr">
        <is>
          <t>가격 접근</t>
        </is>
      </c>
    </row>
    <row r="123">
      <c r="A123" s="8" t="inlineStr">
        <is>
          <t>페녹시에탄올</t>
        </is>
      </c>
      <c r="B123" s="86" t="n">
        <v>5</v>
      </c>
      <c r="C123" s="86" t="n">
        <v>3</v>
      </c>
      <c r="D123" s="86" t="n">
        <v>5</v>
      </c>
      <c r="E123" s="86" t="n">
        <v>1</v>
      </c>
      <c r="F123" s="86" t="n">
        <v>5</v>
      </c>
    </row>
    <row r="124">
      <c r="A124" s="8" t="inlineStr">
        <is>
          <t>1,2-헥산다이올</t>
        </is>
      </c>
      <c r="B124" s="86" t="n">
        <v>3</v>
      </c>
      <c r="C124" s="86" t="n">
        <v>2</v>
      </c>
      <c r="D124" s="86" t="n">
        <v>5</v>
      </c>
      <c r="E124" s="86" t="n">
        <v>3</v>
      </c>
      <c r="F124" s="86" t="n">
        <v>4</v>
      </c>
    </row>
    <row r="125">
      <c r="A125" s="8" t="inlineStr">
        <is>
          <t>에틸헥실글리세린</t>
        </is>
      </c>
      <c r="B125" s="86" t="n">
        <v>2</v>
      </c>
      <c r="C125" s="86" t="n">
        <v>2</v>
      </c>
      <c r="D125" s="86" t="n">
        <v>5</v>
      </c>
      <c r="E125" s="86" t="n">
        <v>2</v>
      </c>
      <c r="F125" s="86" t="n">
        <v>3</v>
      </c>
    </row>
    <row r="126">
      <c r="A126" s="8" t="inlineStr">
        <is>
          <t>카프릴릴글라이콜</t>
        </is>
      </c>
      <c r="B126" s="86" t="n">
        <v>3</v>
      </c>
      <c r="C126" s="86" t="n">
        <v>2</v>
      </c>
      <c r="D126" s="86" t="n">
        <v>5</v>
      </c>
      <c r="E126" s="86" t="n">
        <v>3</v>
      </c>
      <c r="F126" s="86" t="n">
        <v>3</v>
      </c>
    </row>
    <row r="127">
      <c r="A127" s="8" t="inlineStr">
        <is>
          <t>소듐벤조에이트+포타슘소르베이트</t>
        </is>
      </c>
      <c r="B127" s="86" t="n">
        <v>3</v>
      </c>
      <c r="C127" s="86" t="n">
        <v>4</v>
      </c>
      <c r="D127" s="86" t="n">
        <v>1</v>
      </c>
      <c r="E127" s="86" t="n">
        <v>5</v>
      </c>
      <c r="F127" s="86" t="n">
        <v>5</v>
      </c>
    </row>
    <row r="128">
      <c r="A128" s="8" t="inlineStr">
        <is>
          <t>벤질알코올</t>
        </is>
      </c>
      <c r="B128" s="86" t="n">
        <v>4</v>
      </c>
      <c r="C128" s="86" t="n">
        <v>2</v>
      </c>
      <c r="D128" s="86" t="n">
        <v>4</v>
      </c>
      <c r="E128" s="86" t="n">
        <v>4</v>
      </c>
      <c r="F128" s="86" t="n">
        <v>5</v>
      </c>
    </row>
    <row r="129">
      <c r="A129" s="8" t="inlineStr">
        <is>
          <t>클로페네신</t>
        </is>
      </c>
      <c r="B129" s="86" t="n">
        <v>3</v>
      </c>
      <c r="C129" s="86" t="n">
        <v>4</v>
      </c>
      <c r="D129" s="86" t="n">
        <v>4</v>
      </c>
      <c r="E129" s="86" t="n">
        <v>1</v>
      </c>
      <c r="F129" s="86" t="n">
        <v>3</v>
      </c>
    </row>
    <row r="130">
      <c r="A130" s="8" t="inlineStr">
        <is>
          <t>글리세릴카프릴레이트</t>
        </is>
      </c>
      <c r="B130" s="86" t="n">
        <v>3</v>
      </c>
      <c r="C130" s="86" t="n">
        <v>2</v>
      </c>
      <c r="D130" s="86" t="n">
        <v>3</v>
      </c>
      <c r="E130" s="86" t="n">
        <v>5</v>
      </c>
      <c r="F130" s="86" t="n">
        <v>2</v>
      </c>
    </row>
    <row r="131">
      <c r="A131" s="8" t="inlineStr">
        <is>
          <t>소르비탄카프릴레이트</t>
        </is>
      </c>
      <c r="B131" s="86" t="n">
        <v>2</v>
      </c>
      <c r="C131" s="86" t="n">
        <v>4</v>
      </c>
      <c r="D131" s="86" t="n">
        <v>3</v>
      </c>
      <c r="E131" s="86" t="n">
        <v>5</v>
      </c>
      <c r="F131" s="86" t="n">
        <v>2</v>
      </c>
    </row>
    <row r="132">
      <c r="A132" s="8" t="inlineStr">
        <is>
          <t>류시덜(무 발효 여과물)</t>
        </is>
      </c>
      <c r="B132" s="86" t="n">
        <v>2</v>
      </c>
      <c r="C132" s="86" t="n">
        <v>1</v>
      </c>
      <c r="D132" s="86" t="n">
        <v>2</v>
      </c>
      <c r="E132" s="86" t="n">
        <v>5</v>
      </c>
      <c r="F132" s="86" t="n">
        <v>2</v>
      </c>
    </row>
    <row r="134">
      <c r="A134" s="85" t="inlineStr">
        <is>
          <t>■ 각질·산</t>
        </is>
      </c>
    </row>
    <row r="135">
      <c r="A135" s="7" t="inlineStr">
        <is>
          <t>원료</t>
        </is>
      </c>
      <c r="B135" s="7" t="inlineStr">
        <is>
          <t>각질 효과</t>
        </is>
      </c>
      <c r="C135" s="7" t="inlineStr">
        <is>
          <t>자극(5=강)</t>
        </is>
      </c>
      <c r="D135" s="7" t="inlineStr">
        <is>
          <t>보습 부가</t>
        </is>
      </c>
      <c r="E135" s="7" t="inlineStr">
        <is>
          <t>안정성</t>
        </is>
      </c>
      <c r="F135" s="7" t="inlineStr">
        <is>
          <t>구하기</t>
        </is>
      </c>
    </row>
    <row r="136">
      <c r="A136" s="8" t="inlineStr">
        <is>
          <t>글라이콜릭애씨드(AHA)</t>
        </is>
      </c>
      <c r="B136" s="86" t="n">
        <v>5</v>
      </c>
      <c r="C136" s="86" t="n">
        <v>5</v>
      </c>
      <c r="D136" s="86" t="n">
        <v>2</v>
      </c>
      <c r="E136" s="86" t="n">
        <v>4</v>
      </c>
      <c r="F136" s="86" t="n">
        <v>3</v>
      </c>
    </row>
    <row r="137">
      <c r="A137" s="8" t="inlineStr">
        <is>
          <t>락틱애씨드(+소듐락테이트)</t>
        </is>
      </c>
      <c r="B137" s="86" t="n">
        <v>4</v>
      </c>
      <c r="C137" s="86" t="n">
        <v>3</v>
      </c>
      <c r="D137" s="86" t="n">
        <v>4</v>
      </c>
      <c r="E137" s="86" t="n">
        <v>4</v>
      </c>
      <c r="F137" s="86" t="n">
        <v>3</v>
      </c>
    </row>
    <row r="138">
      <c r="A138" s="8" t="inlineStr">
        <is>
          <t>만델릭애씨드</t>
        </is>
      </c>
      <c r="B138" s="86" t="n">
        <v>3</v>
      </c>
      <c r="C138" s="86" t="n">
        <v>2</v>
      </c>
      <c r="D138" s="86" t="n">
        <v>2</v>
      </c>
      <c r="E138" s="86" t="n">
        <v>4</v>
      </c>
      <c r="F138" s="86" t="n">
        <v>2</v>
      </c>
    </row>
    <row r="139">
      <c r="A139" s="8" t="inlineStr">
        <is>
          <t>글루코노락톤(PHA)</t>
        </is>
      </c>
      <c r="B139" s="86" t="n">
        <v>2</v>
      </c>
      <c r="C139" s="86" t="n">
        <v>1</v>
      </c>
      <c r="D139" s="86" t="n">
        <v>4</v>
      </c>
      <c r="E139" s="86" t="n">
        <v>3</v>
      </c>
      <c r="F139" s="86" t="n">
        <v>2</v>
      </c>
    </row>
    <row r="140">
      <c r="A140" s="8" t="inlineStr">
        <is>
          <t>살리실산(BHA)</t>
        </is>
      </c>
      <c r="B140" s="86" t="n">
        <v>4</v>
      </c>
      <c r="C140" s="86" t="n">
        <v>3</v>
      </c>
      <c r="D140" s="86" t="n">
        <v>1</v>
      </c>
      <c r="E140" s="86" t="n">
        <v>5</v>
      </c>
      <c r="F140" s="86" t="n">
        <v>3</v>
      </c>
    </row>
    <row r="141">
      <c r="A141" s="8" t="inlineStr">
        <is>
          <t>아젤라익애씨드</t>
        </is>
      </c>
      <c r="B141" s="86" t="n">
        <v>3</v>
      </c>
      <c r="C141" s="86" t="n">
        <v>3</v>
      </c>
      <c r="D141" s="86" t="n">
        <v>1</v>
      </c>
      <c r="E141" s="86" t="n">
        <v>4</v>
      </c>
      <c r="F141" s="86" t="n">
        <v>2</v>
      </c>
    </row>
    <row r="143">
      <c r="A143" s="85" t="inlineStr">
        <is>
          <t>■ 미백·톤(고시=식약처 기능성 성분)</t>
        </is>
      </c>
    </row>
    <row r="144">
      <c r="A144" s="7" t="inlineStr">
        <is>
          <t>원료</t>
        </is>
      </c>
      <c r="B144" s="7" t="inlineStr">
        <is>
          <t>고시 성분(5=예)</t>
        </is>
      </c>
      <c r="C144" s="7" t="inlineStr">
        <is>
          <t>안정성</t>
        </is>
      </c>
      <c r="D144" s="7" t="inlineStr">
        <is>
          <t>자극 낮음</t>
        </is>
      </c>
      <c r="E144" s="7" t="inlineStr">
        <is>
          <t>다루기 쉬움</t>
        </is>
      </c>
      <c r="F144" s="7" t="inlineStr">
        <is>
          <t>가격 접근</t>
        </is>
      </c>
    </row>
    <row r="145">
      <c r="A145" s="8" t="inlineStr">
        <is>
          <t>나이아신아마이드</t>
        </is>
      </c>
      <c r="B145" s="86" t="n">
        <v>5</v>
      </c>
      <c r="C145" s="86" t="n">
        <v>5</v>
      </c>
      <c r="D145" s="86" t="n">
        <v>3</v>
      </c>
      <c r="E145" s="86" t="n">
        <v>5</v>
      </c>
      <c r="F145" s="86" t="n">
        <v>5</v>
      </c>
    </row>
    <row r="146">
      <c r="A146" s="8" t="inlineStr">
        <is>
          <t>알부틴</t>
        </is>
      </c>
      <c r="B146" s="86" t="n">
        <v>5</v>
      </c>
      <c r="C146" s="86" t="n">
        <v>3</v>
      </c>
      <c r="D146" s="86" t="n">
        <v>4</v>
      </c>
      <c r="E146" s="86" t="n">
        <v>3</v>
      </c>
      <c r="F146" s="86" t="n">
        <v>3</v>
      </c>
    </row>
    <row r="147">
      <c r="A147" s="8" t="inlineStr">
        <is>
          <t>아스코빌글루코사이드</t>
        </is>
      </c>
      <c r="B147" s="86" t="n">
        <v>5</v>
      </c>
      <c r="C147" s="86" t="n">
        <v>4</v>
      </c>
      <c r="D147" s="86" t="n">
        <v>4</v>
      </c>
      <c r="E147" s="86" t="n">
        <v>3</v>
      </c>
      <c r="F147" s="86" t="n">
        <v>3</v>
      </c>
    </row>
    <row r="148">
      <c r="A148" s="8" t="inlineStr">
        <is>
          <t>에칠아스코빌에텔</t>
        </is>
      </c>
      <c r="B148" s="86" t="n">
        <v>5</v>
      </c>
      <c r="C148" s="86" t="n">
        <v>3</v>
      </c>
      <c r="D148" s="86" t="n">
        <v>4</v>
      </c>
      <c r="E148" s="86" t="n">
        <v>3</v>
      </c>
      <c r="F148" s="86" t="n">
        <v>2</v>
      </c>
    </row>
    <row r="149">
      <c r="A149" s="8" t="inlineStr">
        <is>
          <t>마그네슘아스코빌포스페이트(MAP)</t>
        </is>
      </c>
      <c r="B149" s="86" t="n">
        <v>5</v>
      </c>
      <c r="C149" s="86" t="n">
        <v>4</v>
      </c>
      <c r="D149" s="86" t="n">
        <v>4</v>
      </c>
      <c r="E149" s="86" t="n">
        <v>2</v>
      </c>
      <c r="F149" s="86" t="n">
        <v>3</v>
      </c>
    </row>
    <row r="150">
      <c r="A150" s="8" t="inlineStr">
        <is>
          <t>유용성감초추출물</t>
        </is>
      </c>
      <c r="B150" s="86" t="n">
        <v>5</v>
      </c>
      <c r="C150" s="86" t="n">
        <v>4</v>
      </c>
      <c r="D150" s="86" t="n">
        <v>5</v>
      </c>
      <c r="E150" s="86" t="n">
        <v>2</v>
      </c>
      <c r="F150" s="86" t="n">
        <v>1</v>
      </c>
    </row>
    <row r="151">
      <c r="A151" s="8" t="inlineStr">
        <is>
          <t>닥나무추출물</t>
        </is>
      </c>
      <c r="B151" s="86" t="n">
        <v>5</v>
      </c>
      <c r="C151" s="86" t="n">
        <v>3</v>
      </c>
      <c r="D151" s="86" t="n">
        <v>4</v>
      </c>
      <c r="E151" s="86" t="n">
        <v>3</v>
      </c>
      <c r="F151" s="86" t="n">
        <v>2</v>
      </c>
    </row>
    <row r="152">
      <c r="A152" s="8" t="inlineStr">
        <is>
          <t>알파-비사보롤</t>
        </is>
      </c>
      <c r="B152" s="86" t="n">
        <v>5</v>
      </c>
      <c r="C152" s="86" t="n">
        <v>5</v>
      </c>
      <c r="D152" s="86" t="n">
        <v>5</v>
      </c>
      <c r="E152" s="86" t="n">
        <v>4</v>
      </c>
      <c r="F152" s="86" t="n">
        <v>2</v>
      </c>
    </row>
    <row r="153">
      <c r="A153" s="8" t="inlineStr">
        <is>
          <t>순수 비타민C(아스코빅애씨드)</t>
        </is>
      </c>
      <c r="B153" s="86" t="n">
        <v>1</v>
      </c>
      <c r="C153" s="86" t="n">
        <v>1</v>
      </c>
      <c r="D153" s="86" t="n">
        <v>2</v>
      </c>
      <c r="E153" s="86" t="n">
        <v>1</v>
      </c>
      <c r="F153" s="86" t="n">
        <v>5</v>
      </c>
    </row>
    <row r="154">
      <c r="A154" s="8" t="inlineStr">
        <is>
          <t>트라넥사믹애씨드</t>
        </is>
      </c>
      <c r="B154" s="86" t="n">
        <v>1</v>
      </c>
      <c r="C154" s="86" t="n">
        <v>5</v>
      </c>
      <c r="D154" s="86" t="n">
        <v>5</v>
      </c>
      <c r="E154" s="86" t="n">
        <v>4</v>
      </c>
      <c r="F154" s="86" t="n">
        <v>3</v>
      </c>
    </row>
    <row r="155">
      <c r="A155" s="8" t="inlineStr">
        <is>
          <t>글루타치온</t>
        </is>
      </c>
      <c r="B155" s="86" t="n">
        <v>1</v>
      </c>
      <c r="C155" s="86" t="n">
        <v>1</v>
      </c>
      <c r="D155" s="86" t="n">
        <v>4</v>
      </c>
      <c r="E155" s="86" t="n">
        <v>2</v>
      </c>
      <c r="F155" s="86" t="n">
        <v>2</v>
      </c>
    </row>
    <row r="157">
      <c r="A157" s="85" t="inlineStr">
        <is>
          <t>■ 에센셜오일(향)</t>
        </is>
      </c>
    </row>
    <row r="158">
      <c r="A158" s="7" t="inlineStr">
        <is>
          <t>원료</t>
        </is>
      </c>
      <c r="B158" s="7" t="inlineStr">
        <is>
          <t>향 강도</t>
        </is>
      </c>
      <c r="C158" s="7" t="inlineStr">
        <is>
          <t>지속력(베이스)</t>
        </is>
      </c>
      <c r="D158" s="7" t="inlineStr">
        <is>
          <t>광독성·자극 위험</t>
        </is>
      </c>
      <c r="E158" s="7" t="inlineStr">
        <is>
          <t>알레르기 표시 부담</t>
        </is>
      </c>
      <c r="F158" s="7" t="inlineStr">
        <is>
          <t>가격 접근</t>
        </is>
      </c>
    </row>
    <row r="159">
      <c r="A159" s="8" t="inlineStr">
        <is>
          <t>레몬에센셜오일</t>
        </is>
      </c>
      <c r="B159" s="86" t="n">
        <v>3</v>
      </c>
      <c r="C159" s="86" t="n">
        <v>1</v>
      </c>
      <c r="D159" s="86" t="n">
        <v>5</v>
      </c>
      <c r="E159" s="86" t="n">
        <v>4</v>
      </c>
      <c r="F159" s="86" t="n">
        <v>5</v>
      </c>
    </row>
    <row r="160">
      <c r="A160" s="8" t="inlineStr">
        <is>
          <t>버가못FCF 에센셜오일</t>
        </is>
      </c>
      <c r="B160" s="86" t="n">
        <v>3</v>
      </c>
      <c r="C160" s="86" t="n">
        <v>1</v>
      </c>
      <c r="D160" s="86" t="n">
        <v>2</v>
      </c>
      <c r="E160" s="86" t="n">
        <v>4</v>
      </c>
      <c r="F160" s="86" t="n">
        <v>3</v>
      </c>
    </row>
    <row r="161">
      <c r="A161" s="8" t="inlineStr">
        <is>
          <t>스윗오렌지에센셜오일</t>
        </is>
      </c>
      <c r="B161" s="86" t="n">
        <v>3</v>
      </c>
      <c r="C161" s="86" t="n">
        <v>1</v>
      </c>
      <c r="D161" s="86" t="n">
        <v>2</v>
      </c>
      <c r="E161" s="86" t="n">
        <v>4</v>
      </c>
      <c r="F161" s="86" t="n">
        <v>5</v>
      </c>
    </row>
    <row r="162">
      <c r="A162" s="8" t="inlineStr">
        <is>
          <t>만다린에센셜오일</t>
        </is>
      </c>
      <c r="B162" s="86" t="n">
        <v>3</v>
      </c>
      <c r="C162" s="86" t="n">
        <v>1</v>
      </c>
      <c r="D162" s="86" t="n">
        <v>2</v>
      </c>
      <c r="E162" s="86" t="n">
        <v>4</v>
      </c>
      <c r="F162" s="86" t="n">
        <v>4</v>
      </c>
    </row>
    <row r="163">
      <c r="A163" s="8" t="inlineStr">
        <is>
          <t>라벤더에센셜오일</t>
        </is>
      </c>
      <c r="B163" s="86" t="n">
        <v>3</v>
      </c>
      <c r="C163" s="86" t="n">
        <v>2</v>
      </c>
      <c r="D163" s="86" t="n">
        <v>2</v>
      </c>
      <c r="E163" s="86" t="n">
        <v>4</v>
      </c>
      <c r="F163" s="86" t="n">
        <v>4</v>
      </c>
    </row>
    <row r="164">
      <c r="A164" s="8" t="inlineStr">
        <is>
          <t>로즈제라늄에센셜오일</t>
        </is>
      </c>
      <c r="B164" s="86" t="n">
        <v>4</v>
      </c>
      <c r="C164" s="86" t="n">
        <v>3</v>
      </c>
      <c r="D164" s="86" t="n">
        <v>2</v>
      </c>
      <c r="E164" s="86" t="n">
        <v>5</v>
      </c>
      <c r="F164" s="86" t="n">
        <v>4</v>
      </c>
    </row>
    <row r="165">
      <c r="A165" s="8" t="inlineStr">
        <is>
          <t>일랑일랑에센셜오일</t>
        </is>
      </c>
      <c r="B165" s="86" t="n">
        <v>5</v>
      </c>
      <c r="C165" s="86" t="n">
        <v>4</v>
      </c>
      <c r="D165" s="86" t="n">
        <v>3</v>
      </c>
      <c r="E165" s="86" t="n">
        <v>5</v>
      </c>
      <c r="F165" s="86" t="n">
        <v>4</v>
      </c>
    </row>
    <row r="166">
      <c r="A166" s="8" t="inlineStr">
        <is>
          <t>네롤리에센셜오일</t>
        </is>
      </c>
      <c r="B166" s="86" t="n">
        <v>4</v>
      </c>
      <c r="C166" s="86" t="n">
        <v>2</v>
      </c>
      <c r="D166" s="86" t="n">
        <v>2</v>
      </c>
      <c r="E166" s="86" t="n">
        <v>4</v>
      </c>
      <c r="F166" s="86" t="n">
        <v>1</v>
      </c>
    </row>
    <row r="167">
      <c r="A167" s="8" t="inlineStr">
        <is>
          <t>티트리에센셜오일</t>
        </is>
      </c>
      <c r="B167" s="86" t="n">
        <v>4</v>
      </c>
      <c r="C167" s="86" t="n">
        <v>2</v>
      </c>
      <c r="D167" s="86" t="n">
        <v>3</v>
      </c>
      <c r="E167" s="86" t="n">
        <v>3</v>
      </c>
      <c r="F167" s="86" t="n">
        <v>5</v>
      </c>
    </row>
    <row r="168">
      <c r="A168" s="8" t="inlineStr">
        <is>
          <t>페퍼민트에센셜오일</t>
        </is>
      </c>
      <c r="B168" s="86" t="n">
        <v>5</v>
      </c>
      <c r="C168" s="86" t="n">
        <v>2</v>
      </c>
      <c r="D168" s="86" t="n">
        <v>4</v>
      </c>
      <c r="E168" s="86" t="n">
        <v>3</v>
      </c>
      <c r="F168" s="86" t="n">
        <v>5</v>
      </c>
    </row>
    <row r="169">
      <c r="A169" s="8" t="inlineStr">
        <is>
          <t>유칼립투스에센셜오일</t>
        </is>
      </c>
      <c r="B169" s="86" t="n">
        <v>5</v>
      </c>
      <c r="C169" s="86" t="n">
        <v>2</v>
      </c>
      <c r="D169" s="86" t="n">
        <v>4</v>
      </c>
      <c r="E169" s="86" t="n">
        <v>3</v>
      </c>
      <c r="F169" s="86" t="n">
        <v>5</v>
      </c>
    </row>
    <row r="170">
      <c r="A170" s="8" t="inlineStr">
        <is>
          <t>로즈마리에센셜오일</t>
        </is>
      </c>
      <c r="B170" s="86" t="n">
        <v>4</v>
      </c>
      <c r="C170" s="86" t="n">
        <v>2</v>
      </c>
      <c r="D170" s="86" t="n">
        <v>3</v>
      </c>
      <c r="E170" s="86" t="n">
        <v>3</v>
      </c>
      <c r="F170" s="86" t="n">
        <v>4</v>
      </c>
    </row>
    <row r="171">
      <c r="A171" s="8" t="inlineStr">
        <is>
          <t>프랑킨센스에센셜오일</t>
        </is>
      </c>
      <c r="B171" s="86" t="n">
        <v>3</v>
      </c>
      <c r="C171" s="86" t="n">
        <v>4</v>
      </c>
      <c r="D171" s="86" t="n">
        <v>2</v>
      </c>
      <c r="E171" s="86" t="n">
        <v>3</v>
      </c>
      <c r="F171" s="86" t="n">
        <v>3</v>
      </c>
    </row>
    <row r="172">
      <c r="A172" s="8" t="inlineStr">
        <is>
          <t>시더우드에센셜오일</t>
        </is>
      </c>
      <c r="B172" s="86" t="n">
        <v>3</v>
      </c>
      <c r="C172" s="86" t="n">
        <v>5</v>
      </c>
      <c r="D172" s="86" t="n">
        <v>1</v>
      </c>
      <c r="E172" s="86" t="n">
        <v>2</v>
      </c>
      <c r="F172" s="86" t="n">
        <v>4</v>
      </c>
    </row>
    <row r="173">
      <c r="A173" s="8" t="inlineStr">
        <is>
          <t>로즈앱솔루트</t>
        </is>
      </c>
      <c r="B173" s="86" t="n">
        <v>5</v>
      </c>
      <c r="C173" s="86" t="n">
        <v>4</v>
      </c>
      <c r="D173" s="86" t="n">
        <v>2</v>
      </c>
      <c r="E173" s="86" t="n">
        <v>5</v>
      </c>
      <c r="F173" s="86" t="n">
        <v>1</v>
      </c>
    </row>
    <row r="174">
      <c r="A174" s="8" t="inlineStr">
        <is>
          <t>저먼캐모마일에센셜오일</t>
        </is>
      </c>
      <c r="B174" s="86" t="n">
        <v>3</v>
      </c>
      <c r="C174" s="86" t="n">
        <v>3</v>
      </c>
      <c r="D174" s="86" t="n">
        <v>1</v>
      </c>
      <c r="E174" s="86" t="n">
        <v>2</v>
      </c>
      <c r="F174" s="86" t="n">
        <v>1</v>
      </c>
    </row>
    <row r="175">
      <c r="A175" s="8" t="inlineStr">
        <is>
          <t>스피아민트에센셜오일</t>
        </is>
      </c>
      <c r="B175" s="86" t="n">
        <v>4</v>
      </c>
      <c r="C175" s="86" t="n">
        <v>2</v>
      </c>
      <c r="D175" s="86" t="n">
        <v>3</v>
      </c>
      <c r="E175" s="86" t="n">
        <v>3</v>
      </c>
      <c r="F175" s="86" t="n">
        <v>4</v>
      </c>
    </row>
    <row r="176">
      <c r="A176" s="8" t="inlineStr">
        <is>
          <t>마조람에센셜오일</t>
        </is>
      </c>
      <c r="B176" s="86" t="n">
        <v>3</v>
      </c>
      <c r="C176" s="86" t="n">
        <v>2</v>
      </c>
      <c r="D176" s="86" t="n">
        <v>2</v>
      </c>
      <c r="E176" s="86" t="n">
        <v>3</v>
      </c>
      <c r="F176" s="86" t="n">
        <v>3</v>
      </c>
    </row>
    <row r="177">
      <c r="A177" s="8" t="inlineStr">
        <is>
          <t>주니퍼베리에센셜오일</t>
        </is>
      </c>
      <c r="B177" s="86" t="n">
        <v>3</v>
      </c>
      <c r="C177" s="86" t="n">
        <v>2</v>
      </c>
      <c r="D177" s="86" t="n">
        <v>3</v>
      </c>
      <c r="E177" s="86" t="n">
        <v>3</v>
      </c>
      <c r="F177" s="86" t="n">
        <v>3</v>
      </c>
    </row>
  </sheetData>
  <mergeCells count="13">
    <mergeCell ref="A121:F121"/>
    <mergeCell ref="A2:H2"/>
    <mergeCell ref="A22:G22"/>
    <mergeCell ref="A4:G4"/>
    <mergeCell ref="A157:F157"/>
    <mergeCell ref="A97:F97"/>
    <mergeCell ref="A134:F134"/>
    <mergeCell ref="A59:G59"/>
    <mergeCell ref="A1:H1"/>
    <mergeCell ref="A81:G81"/>
    <mergeCell ref="A143:F143"/>
    <mergeCell ref="A68:G68"/>
    <mergeCell ref="A108:G108"/>
  </mergeCells>
  <conditionalFormatting sqref="B6:G20">
    <cfRule type="colorScale" priority="1">
      <colorScale>
        <cfvo type="num" val="1"/>
        <cfvo type="num" val="3"/>
        <cfvo type="num" val="5"/>
        <color rgb="FFF8F8F8"/>
        <color rgb="FFBDD7EE"/>
        <color rgb="FF2F75B5"/>
      </colorScale>
    </cfRule>
  </conditionalFormatting>
  <conditionalFormatting sqref="B24:G57">
    <cfRule type="colorScale" priority="2">
      <colorScale>
        <cfvo type="num" val="1"/>
        <cfvo type="num" val="3"/>
        <cfvo type="num" val="5"/>
        <color rgb="FFF8F8F8"/>
        <color rgb="FFBDD7EE"/>
        <color rgb="FF2F75B5"/>
      </colorScale>
    </cfRule>
  </conditionalFormatting>
  <conditionalFormatting sqref="B61:G66">
    <cfRule type="colorScale" priority="3">
      <colorScale>
        <cfvo type="num" val="1"/>
        <cfvo type="num" val="3"/>
        <cfvo type="num" val="5"/>
        <color rgb="FFF8F8F8"/>
        <color rgb="FFBDD7EE"/>
        <color rgb="FF2F75B5"/>
      </colorScale>
    </cfRule>
  </conditionalFormatting>
  <conditionalFormatting sqref="B70:G79">
    <cfRule type="colorScale" priority="4">
      <colorScale>
        <cfvo type="num" val="1"/>
        <cfvo type="num" val="3"/>
        <cfvo type="num" val="5"/>
        <color rgb="FFF8F8F8"/>
        <color rgb="FFBDD7EE"/>
        <color rgb="FF2F75B5"/>
      </colorScale>
    </cfRule>
  </conditionalFormatting>
  <conditionalFormatting sqref="B83:G95">
    <cfRule type="colorScale" priority="5">
      <colorScale>
        <cfvo type="num" val="1"/>
        <cfvo type="num" val="3"/>
        <cfvo type="num" val="5"/>
        <color rgb="FFF8F8F8"/>
        <color rgb="FFBDD7EE"/>
        <color rgb="FF2F75B5"/>
      </colorScale>
    </cfRule>
  </conditionalFormatting>
  <conditionalFormatting sqref="B99:F106">
    <cfRule type="colorScale" priority="6">
      <colorScale>
        <cfvo type="num" val="1"/>
        <cfvo type="num" val="3"/>
        <cfvo type="num" val="5"/>
        <color rgb="FFF8F8F8"/>
        <color rgb="FFBDD7EE"/>
        <color rgb="FF2F75B5"/>
      </colorScale>
    </cfRule>
  </conditionalFormatting>
  <conditionalFormatting sqref="B110:G119">
    <cfRule type="colorScale" priority="7">
      <colorScale>
        <cfvo type="num" val="1"/>
        <cfvo type="num" val="3"/>
        <cfvo type="num" val="5"/>
        <color rgb="FFF8F8F8"/>
        <color rgb="FFBDD7EE"/>
        <color rgb="FF2F75B5"/>
      </colorScale>
    </cfRule>
  </conditionalFormatting>
  <conditionalFormatting sqref="B123:F132">
    <cfRule type="colorScale" priority="8">
      <colorScale>
        <cfvo type="num" val="1"/>
        <cfvo type="num" val="3"/>
        <cfvo type="num" val="5"/>
        <color rgb="FFF8F8F8"/>
        <color rgb="FFBDD7EE"/>
        <color rgb="FF2F75B5"/>
      </colorScale>
    </cfRule>
  </conditionalFormatting>
  <conditionalFormatting sqref="B136:F141">
    <cfRule type="colorScale" priority="9">
      <colorScale>
        <cfvo type="num" val="1"/>
        <cfvo type="num" val="3"/>
        <cfvo type="num" val="5"/>
        <color rgb="FFF8F8F8"/>
        <color rgb="FFBDD7EE"/>
        <color rgb="FF2F75B5"/>
      </colorScale>
    </cfRule>
  </conditionalFormatting>
  <conditionalFormatting sqref="B145:F155">
    <cfRule type="colorScale" priority="10">
      <colorScale>
        <cfvo type="num" val="1"/>
        <cfvo type="num" val="3"/>
        <cfvo type="num" val="5"/>
        <color rgb="FFF8F8F8"/>
        <color rgb="FFBDD7EE"/>
        <color rgb="FF2F75B5"/>
      </colorScale>
    </cfRule>
  </conditionalFormatting>
  <conditionalFormatting sqref="B159:F177">
    <cfRule type="colorScale" priority="11">
      <colorScale>
        <cfvo type="num" val="1"/>
        <cfvo type="num" val="3"/>
        <cfvo type="num" val="5"/>
        <color rgb="FFF8F8F8"/>
        <color rgb="FFBDD7EE"/>
        <color rgb="FF2F75B5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20" customWidth="1" min="4" max="4"/>
    <col width="8" customWidth="1" min="5" max="5"/>
    <col width="8" customWidth="1" min="6" max="6"/>
    <col width="46" customWidth="1" min="7" max="7"/>
    <col width="22" customWidth="1" min="8" max="8"/>
    <col width="30" customWidth="1" min="9" max="9"/>
    <col width="32" customWidth="1" min="10" max="10"/>
    <col width="32" customWidth="1" min="11" max="11"/>
    <col width="14" customWidth="1" min="12" max="12"/>
  </cols>
  <sheetData>
    <row r="1" ht="26" customHeight="1">
      <c r="A1" s="1" t="inlineStr">
        <is>
          <t>제형 설계 — 원하는 제형을 만들려면 무엇을 얼마나</t>
        </is>
      </c>
    </row>
    <row r="2" ht="48" customHeight="1">
      <c r="A2" s="2" t="inlineStr">
        <is>
          <t>%는 연습용 출발점. '핵심 원료'는 보유 원료 위주로 적었고 숫자=대략 %. 감촉 레버로 미세조정 → 개발일지에 기록. 기능성(자외선·미백·주름) 표방은 보고 필요 → OEM 영역.</t>
        </is>
      </c>
    </row>
    <row r="4">
      <c r="A4" s="7" t="inlineStr">
        <is>
          <t>제형</t>
        </is>
      </c>
      <c r="B4" s="7" t="inlineStr">
        <is>
          <t>목표 감촉</t>
        </is>
      </c>
      <c r="C4" s="7" t="inlineStr">
        <is>
          <t>점도</t>
        </is>
      </c>
      <c r="D4" s="7" t="inlineStr">
        <is>
          <t>구조(뼈대)</t>
        </is>
      </c>
      <c r="E4" s="7" t="inlineStr">
        <is>
          <t>수상%</t>
        </is>
      </c>
      <c r="F4" s="7" t="inlineStr">
        <is>
          <t>유상%</t>
        </is>
      </c>
      <c r="G4" s="7" t="inlineStr">
        <is>
          <t>핵심 원료(보유 위주, ≈%)</t>
        </is>
      </c>
      <c r="H4" s="7" t="inlineStr">
        <is>
          <t>추가하면 좋은 원료</t>
        </is>
      </c>
      <c r="I4" s="7" t="inlineStr">
        <is>
          <t>감촉 레버</t>
        </is>
      </c>
      <c r="J4" s="7" t="inlineStr">
        <is>
          <t>흔한 실패 → 원인</t>
        </is>
      </c>
      <c r="K4" s="7" t="inlineStr">
        <is>
          <t>공정 포인트</t>
        </is>
      </c>
      <c r="L4" s="7" t="inlineStr">
        <is>
          <t>지금 보유로?</t>
        </is>
      </c>
    </row>
    <row r="5" ht="96" customHeight="1">
      <c r="A5" s="87" t="inlineStr">
        <is>
          <t>토너(스킨)</t>
        </is>
      </c>
      <c r="B5" s="34" t="inlineStr">
        <is>
          <t>물처럼 산뜻, 바르면 촉촉</t>
        </is>
      </c>
      <c r="C5" s="34" t="inlineStr">
        <is>
          <t>물~약간 점성</t>
        </is>
      </c>
      <c r="D5" s="34" t="inlineStr">
        <is>
          <t>수상 단독(+가용화)</t>
        </is>
      </c>
      <c r="E5" s="34" t="inlineStr">
        <is>
          <t>90~97%</t>
        </is>
      </c>
      <c r="F5" s="34" t="inlineStr">
        <is>
          <t>0~1%</t>
        </is>
      </c>
      <c r="G5" s="34" t="inlineStr">
        <is>
          <t>정제수·글리세린 2·프로판디올 3·베타인·판테놀 1·알란토인 0.2·페녹시+헥산디올</t>
        </is>
      </c>
      <c r="H5" s="34" t="inlineStr">
        <is>
          <t>폴리글리세릴-4 카프레이트(향 넣을 때)</t>
        </is>
      </c>
      <c r="I5" s="34" t="inlineStr">
        <is>
          <t>보습제 합 5→10%=촉촉↑끈적↑ / 히알루론산 0.02%=미끌</t>
        </is>
      </c>
      <c r="J5" s="34" t="inlineStr">
        <is>
          <t>뿌옇다→향 가용화 부족 / 끈적→글리세린 과다</t>
        </is>
      </c>
      <c r="K5" s="34" t="inlineStr">
        <is>
          <t>가열 불필요, 분말은 먼저 완전 용해</t>
        </is>
      </c>
      <c r="L5" s="34" t="inlineStr">
        <is>
          <t>✓ 가능</t>
        </is>
      </c>
    </row>
    <row r="6" ht="96" customHeight="1">
      <c r="A6" s="87" t="inlineStr">
        <is>
          <t>수분 젤(잔탄)</t>
        </is>
      </c>
      <c r="B6" s="34" t="inlineStr">
        <is>
          <t>말랑, 천연 느낌</t>
        </is>
      </c>
      <c r="C6" s="34" t="inlineStr">
        <is>
          <t>중간</t>
        </is>
      </c>
      <c r="D6" s="34" t="inlineStr">
        <is>
          <t>점증제 젤(잔탄±HEC)</t>
        </is>
      </c>
      <c r="E6" s="34" t="inlineStr">
        <is>
          <t>95~98%</t>
        </is>
      </c>
      <c r="F6" s="34" t="inlineStr">
        <is>
          <t>0~2%</t>
        </is>
      </c>
      <c r="G6" s="34" t="inlineStr">
        <is>
          <t>정제수·잔탄 0.3~0.5(글리세린 선분산)·글리세린·판테놀·마데카소사이드·방부</t>
        </is>
      </c>
      <c r="H6" s="34" t="inlineStr">
        <is>
          <t>HEC(실끈↓)</t>
        </is>
      </c>
      <c r="I6" s="34" t="inlineStr">
        <is>
          <t>잔탄↑=쫀득·실끈 / 글리세린↓=덜 끈적</t>
        </is>
      </c>
      <c r="J6" s="34" t="inlineStr">
        <is>
          <t>덩어리(피쉬아이)→선분산 안 함 / 콧물감→잔탄 과다</t>
        </is>
      </c>
      <c r="K6" s="34" t="inlineStr">
        <is>
          <t>글리세린에 잔탄 개어 물에 투입, 고속 교반, 하룻밤 숙성</t>
        </is>
      </c>
      <c r="L6" s="34" t="inlineStr">
        <is>
          <t>✓ 가능</t>
        </is>
      </c>
    </row>
    <row r="7" ht="96" customHeight="1">
      <c r="A7" s="87" t="inlineStr">
        <is>
          <t>물광 젤(카보머)</t>
        </is>
      </c>
      <c r="B7" s="34" t="inlineStr">
        <is>
          <t>투명·탱글·산뜻</t>
        </is>
      </c>
      <c r="C7" s="34" t="inlineStr">
        <is>
          <t>중~높음</t>
        </is>
      </c>
      <c r="D7" s="34" t="inlineStr">
        <is>
          <t>중화형 젤</t>
        </is>
      </c>
      <c r="E7" s="34" t="inlineStr">
        <is>
          <t>95~98%</t>
        </is>
      </c>
      <c r="F7" s="34" t="inlineStr">
        <is>
          <t>0%</t>
        </is>
      </c>
      <c r="G7" s="34" t="inlineStr">
        <is>
          <t>정제수·카보머 0.3·트로메타민(중화)·글리세린 3·프로판디올 2·판테놀·방부</t>
        </is>
      </c>
      <c r="H7" s="34" t="inlineStr">
        <is>
          <t>—</t>
        </is>
      </c>
      <c r="I7" s="34" t="inlineStr">
        <is>
          <t>카보머 0.2→0.5=점도↑ / 중화 pH 6~7 최적</t>
        </is>
      </c>
      <c r="J7" s="34" t="inlineStr">
        <is>
          <t>점도 안 오름→전해질(아연피카·염) / pH 너무 높음</t>
        </is>
      </c>
      <c r="K7" s="34" t="inlineStr">
        <is>
          <t>카보머 분산→수화 30분→다른 원료→마지막 중화</t>
        </is>
      </c>
      <c r="L7" s="34" t="inlineStr">
        <is>
          <t>주문 입고 후 가능</t>
        </is>
      </c>
    </row>
    <row r="8" ht="96" customHeight="1">
      <c r="A8" s="87" t="inlineStr">
        <is>
          <t>젤크림</t>
        </is>
      </c>
      <c r="B8" s="34" t="inlineStr">
        <is>
          <t>젤처럼 가볍게 크림처럼 촉촉</t>
        </is>
      </c>
      <c r="C8" s="34" t="inlineStr">
        <is>
          <t>중간</t>
        </is>
      </c>
      <c r="D8" s="34" t="inlineStr">
        <is>
          <t>젤 + 소량 유상(유화제 少 or 세피노브)</t>
        </is>
      </c>
      <c r="E8" s="34" t="inlineStr">
        <is>
          <t>80~90%</t>
        </is>
      </c>
      <c r="F8" s="34" t="inlineStr">
        <is>
          <t>5~12%</t>
        </is>
      </c>
      <c r="G8" s="34" t="inlineStr">
        <is>
          <t>젤 베이스 + MCT 5·스쿠알란 3 + 몬타노브 1.5~2(저농도 유화)</t>
        </is>
      </c>
      <c r="H8" s="34" t="inlineStr">
        <is>
          <t>세피노브 EMT10(유화제 없이)</t>
        </is>
      </c>
      <c r="I8" s="34" t="inlineStr">
        <is>
          <t>오일↑=촉촉·무게↑ / 디메치콘 1%=보송</t>
        </is>
      </c>
      <c r="J8" s="34" t="inlineStr">
        <is>
          <t>분리→유화제 부족 / 기름짐→오일 과다</t>
        </is>
      </c>
      <c r="K8" s="34" t="inlineStr">
        <is>
          <t>B상 80℃ 녹여 A상(젤)에 투입, 호모믹서</t>
        </is>
      </c>
      <c r="L8" s="34" t="inlineStr">
        <is>
          <t>✓ 가능(몬타노브 저농도)</t>
        </is>
      </c>
    </row>
    <row r="9" ht="96" customHeight="1">
      <c r="A9" s="87" t="inlineStr">
        <is>
          <t>세럼·에센스</t>
        </is>
      </c>
      <c r="B9" s="34" t="inlineStr">
        <is>
          <t>가볍고 미끄러운 점성 액</t>
        </is>
      </c>
      <c r="C9" s="34" t="inlineStr">
        <is>
          <t>낮~중간</t>
        </is>
      </c>
      <c r="D9" s="34" t="inlineStr">
        <is>
          <t>약한 점증 + 활성 고함량</t>
        </is>
      </c>
      <c r="E9" s="34" t="inlineStr">
        <is>
          <t>85~95%</t>
        </is>
      </c>
      <c r="F9" s="34" t="inlineStr">
        <is>
          <t>0~3%</t>
        </is>
      </c>
      <c r="G9" s="34" t="inlineStr">
        <is>
          <t>정제수·잔탄 0.15·HA 0.1·나이아신 4·아연피카 0.5·판테놀·베타글루칸·방부</t>
        </is>
      </c>
      <c r="H9" s="34" t="inlineStr">
        <is>
          <t>—</t>
        </is>
      </c>
      <c r="I9" s="34" t="inlineStr">
        <is>
          <t>HA·베타글루칸=미끈·막 / 잔탄 0.1~0.2만</t>
        </is>
      </c>
      <c r="J9" s="34" t="inlineStr">
        <is>
          <t>따끔→나이아신 고% / 밀림→HA 과다</t>
        </is>
      </c>
      <c r="K9" s="34" t="inlineStr">
        <is>
          <t>활성은 냉각상 or 미리 녹인 수용액</t>
        </is>
      </c>
      <c r="L9" s="34" t="inlineStr">
        <is>
          <t>✓ 가능</t>
        </is>
      </c>
    </row>
    <row r="10" ht="96" customHeight="1">
      <c r="A10" s="87" t="inlineStr">
        <is>
          <t>로션(에멀전)</t>
        </is>
      </c>
      <c r="B10" s="34" t="inlineStr">
        <is>
          <t>묽고 빨리 스며듦</t>
        </is>
      </c>
      <c r="C10" s="34" t="inlineStr">
        <is>
          <t>흐름</t>
        </is>
      </c>
      <c r="D10" s="34" t="inlineStr">
        <is>
          <t>O/W 유화(유화제 2~3%)</t>
        </is>
      </c>
      <c r="E10" s="34" t="inlineStr">
        <is>
          <t>75~85%</t>
        </is>
      </c>
      <c r="F10" s="34" t="inlineStr">
        <is>
          <t>8~15%</t>
        </is>
      </c>
      <c r="G10" s="34" t="inlineStr">
        <is>
          <t>A: 정제수·글리세린·잔탄 0.1 / B: MCT·스쿠알란·올리브유화왁스 3 / C: 판테놀·방부</t>
        </is>
      </c>
      <c r="H10" s="34" t="inlineStr">
        <is>
          <t>Tego Care 450</t>
        </is>
      </c>
      <c r="I10" s="34" t="inlineStr">
        <is>
          <t>유화제·세틸↓=묽게 / 디메치콘=가벼운 슬립</t>
        </is>
      </c>
      <c r="J10" s="34" t="inlineStr">
        <is>
          <t>분리→유화제 대비 오일 과다 / 묽어짐→냉각 교반 부족</t>
        </is>
      </c>
      <c r="K10" s="34" t="inlineStr">
        <is>
          <t>A·B 둘 다 75℃ → B를 A에 넣고 유화 → 40℃까지 저으며 냉각</t>
        </is>
      </c>
      <c r="L10" s="34" t="inlineStr">
        <is>
          <t>✓ 가능</t>
        </is>
      </c>
    </row>
    <row r="11" ht="96" customHeight="1">
      <c r="A11" s="87" t="inlineStr">
        <is>
          <t>크림(히어로형)</t>
        </is>
      </c>
      <c r="B11" s="34" t="inlineStr">
        <is>
          <t>쫀쫀·보들, 장벽 느낌</t>
        </is>
      </c>
      <c r="C11" s="34" t="inlineStr">
        <is>
          <t>높음</t>
        </is>
      </c>
      <c r="D11" s="34" t="inlineStr">
        <is>
          <t>O/W 액정 유화(몬타노브)</t>
        </is>
      </c>
      <c r="E11" s="34" t="inlineStr">
        <is>
          <t>70~80%</t>
        </is>
      </c>
      <c r="F11" s="34" t="inlineStr">
        <is>
          <t>15~22%</t>
        </is>
      </c>
      <c r="G11" s="34" t="inlineStr">
        <is>
          <t>A: 정제수·글리세린·프로판디올·나이아신·알란토인·잔탄 0.3 / B: 몬타노브 4·세틸 2·MCT 3·스쿠알란 5·디메치콘 3 / C: 판테놀·마데카·녹차·페녹시·헥산디올</t>
        </is>
      </c>
      <c r="H11" s="34" t="inlineStr">
        <is>
          <t>세라마이드(리포좀)</t>
        </is>
      </c>
      <c r="I11" s="34" t="inlineStr">
        <is>
          <t>세틸 0.5% 단위=점도 / 디메치콘=소핑↓ / 스쿠알란↔MCT=흡수감</t>
        </is>
      </c>
      <c r="J11" s="34" t="inlineStr">
        <is>
          <t>하얘짐→소핑(디메치콘↑) / 알갱이→고온 부족 / 묽음→24h 후 판단</t>
        </is>
      </c>
      <c r="K11" s="34" t="inlineStr">
        <is>
          <t>B 80℃ 완전 용해, 유화 후 냉각 교반, 점도는 24~48h 뒤 확정</t>
        </is>
      </c>
      <c r="L11" s="34" t="inlineStr">
        <is>
          <t>✓ 현재 v2 처방</t>
        </is>
      </c>
    </row>
    <row r="12" ht="96" customHeight="1">
      <c r="A12" s="87" t="inlineStr">
        <is>
          <t>리치 크림·나이트</t>
        </is>
      </c>
      <c r="B12" s="34" t="inlineStr">
        <is>
          <t>꾸덕·보호막</t>
        </is>
      </c>
      <c r="C12" s="34" t="inlineStr">
        <is>
          <t>매우 높음</t>
        </is>
      </c>
      <c r="D12" s="34" t="inlineStr">
        <is>
          <t>O/W 고유상</t>
        </is>
      </c>
      <c r="E12" s="34" t="inlineStr">
        <is>
          <t>55~70%</t>
        </is>
      </c>
      <c r="F12" s="34" t="inlineStr">
        <is>
          <t>25~40%</t>
        </is>
      </c>
      <c r="G12" s="34" t="inlineStr">
        <is>
          <t>몬타노브 5·세틸 3·시어버터 5~10·스쿠알란·호호바·토코페롤 0.3</t>
        </is>
      </c>
      <c r="H12" s="34" t="inlineStr">
        <is>
          <t>콜레스테롤·세라마이드</t>
        </is>
      </c>
      <c r="I12" s="34" t="inlineStr">
        <is>
          <t>버터↑=리치 / 디메치콘=무게 감춤</t>
        </is>
      </c>
      <c r="J12" s="34" t="inlineStr">
        <is>
          <t>그레이니→시어 서냉 / 분리→유화제 부족</t>
        </is>
      </c>
      <c r="K12" s="34" t="inlineStr">
        <is>
          <t>버터 저온 용해 후 빠르게 유화·냉각</t>
        </is>
      </c>
      <c r="L12" s="34" t="inlineStr">
        <is>
          <t>✓ 가능(시어·호호바, 히어로 X)</t>
        </is>
      </c>
    </row>
    <row r="13" ht="96" customHeight="1">
      <c r="A13" s="87" t="inlineStr">
        <is>
          <t>밤(무수)</t>
        </is>
      </c>
      <c r="B13" s="34" t="inlineStr">
        <is>
          <t>체온에 녹는 고체</t>
        </is>
      </c>
      <c r="C13" s="34" t="inlineStr">
        <is>
          <t>고체</t>
        </is>
      </c>
      <c r="D13" s="34" t="inlineStr">
        <is>
          <t>오일 + 왁스/버터 (물 없음)</t>
        </is>
      </c>
      <c r="E13" s="34" t="inlineStr">
        <is>
          <t>0%</t>
        </is>
      </c>
      <c r="F13" s="34" t="inlineStr">
        <is>
          <t>100%</t>
        </is>
      </c>
      <c r="G13" s="34" t="inlineStr">
        <is>
          <t>시어버터 30·MCT/호호바 50·칸데릴라 10·토코페롤 0.5</t>
        </is>
      </c>
      <c r="H13" s="34" t="inlineStr">
        <is>
          <t>타피오카전분(기름짐↓)</t>
        </is>
      </c>
      <c r="I13" s="34" t="inlineStr">
        <is>
          <t>왁스↑=단단 / 버터↑=녹는감 / 액상오일↑=부드러움</t>
        </is>
      </c>
      <c r="J13" s="34" t="inlineStr">
        <is>
          <t>그레이니→급냉 안 함 / 너무 단단→왁스 과다</t>
        </is>
      </c>
      <c r="K13" s="34" t="inlineStr">
        <is>
          <t>무수라 방부제 불필요(물 닿지 않게), 70℃ 녹여 용기 붓고 급냉</t>
        </is>
      </c>
      <c r="L13" s="34" t="inlineStr">
        <is>
          <t>칸데릴라 구매 시 가능</t>
        </is>
      </c>
    </row>
    <row r="14" ht="96" customHeight="1">
      <c r="A14" s="87" t="inlineStr">
        <is>
          <t>오일 세럼(무수)</t>
        </is>
      </c>
      <c r="B14" s="34" t="inlineStr">
        <is>
          <t>가벼운 페이스 오일</t>
        </is>
      </c>
      <c r="C14" s="34" t="inlineStr">
        <is>
          <t>흐름</t>
        </is>
      </c>
      <c r="D14" s="34" t="inlineStr">
        <is>
          <t>오일 블렌드</t>
        </is>
      </c>
      <c r="E14" s="34" t="inlineStr">
        <is>
          <t>0%</t>
        </is>
      </c>
      <c r="F14" s="34" t="inlineStr">
        <is>
          <t>100%</t>
        </is>
      </c>
      <c r="G14" s="34" t="inlineStr">
        <is>
          <t>스쿠알란 50·MCT 40·호호바 9·토코페롤 0.5</t>
        </is>
      </c>
      <c r="H14" s="34" t="inlineStr">
        <is>
          <t>코코카프릴레이트(가볍게)</t>
        </is>
      </c>
      <c r="I14" s="34" t="inlineStr">
        <is>
          <t>에스터↑=가볍게 / 버터↑=무겁게</t>
        </is>
      </c>
      <c r="J14" s="34" t="inlineStr">
        <is>
          <t>산패 냄새→토코페롤 누락·불포화 오일 과다</t>
        </is>
      </c>
      <c r="K14" s="34" t="inlineStr">
        <is>
          <t>가열 불필요, 차광병</t>
        </is>
      </c>
      <c r="L14" s="34" t="inlineStr">
        <is>
          <t>✓ 가능</t>
        </is>
      </c>
    </row>
    <row r="15" ht="96" customHeight="1">
      <c r="A15" s="87" t="inlineStr">
        <is>
          <t>물리 선크림</t>
        </is>
      </c>
      <c r="B15" s="34" t="inlineStr">
        <is>
          <t>백탁 최소, 매트</t>
        </is>
      </c>
      <c r="C15" s="34" t="inlineStr">
        <is>
          <t>중간</t>
        </is>
      </c>
      <c r="D15" s="34" t="inlineStr">
        <is>
          <t>W/O or O/W + 무기 분말</t>
        </is>
      </c>
      <c r="E15" s="34" t="inlineStr">
        <is>
          <t>40~60%</t>
        </is>
      </c>
      <c r="F15" s="34" t="inlineStr">
        <is>
          <t>25~40%</t>
        </is>
      </c>
      <c r="G15" s="34" t="inlineStr">
        <is>
          <t>징크옥사이드 15~25·C12-15·디카프릴릴카보네이트·포타슘세틸포스페이트</t>
        </is>
      </c>
      <c r="H15" s="34" t="inlineStr">
        <is>
          <t>—</t>
        </is>
      </c>
      <c r="I15" s="34" t="inlineStr">
        <is>
          <t>분산 품질=차단·백탁 결정</t>
        </is>
      </c>
      <c r="J15" s="34" t="inlineStr">
        <is>
          <t>뭉침·백탁→분산 부족</t>
        </is>
      </c>
      <c r="K15" s="34" t="inlineStr">
        <is>
          <t>★ 자외선차단 = 기능성 보고·SPF 시험 → OEM 영역</t>
        </is>
      </c>
      <c r="L15" s="34" t="inlineStr">
        <is>
          <t>✗ (OEM 의뢰)</t>
        </is>
      </c>
    </row>
    <row r="16" ht="96" customHeight="1">
      <c r="A16" s="87" t="inlineStr">
        <is>
          <t>고활성 앰플</t>
        </is>
      </c>
      <c r="B16" s="34" t="inlineStr">
        <is>
          <t>소량·진한 효능 무드</t>
        </is>
      </c>
      <c r="C16" s="34" t="inlineStr">
        <is>
          <t>낮~중간</t>
        </is>
      </c>
      <c r="D16" s="34" t="inlineStr">
        <is>
          <t>약한 점증 + 활성 다수</t>
        </is>
      </c>
      <c r="E16" s="34" t="inlineStr">
        <is>
          <t>85~95%</t>
        </is>
      </c>
      <c r="F16" s="34" t="inlineStr">
        <is>
          <t>0~2%</t>
        </is>
      </c>
      <c r="G16" s="34" t="inlineStr">
        <is>
          <t>정제수·HA 0.1·나이아신 5·판테놀 3·마데카 2·베타글루칸 3·방부</t>
        </is>
      </c>
      <c r="H16" s="34" t="inlineStr">
        <is>
          <t>에칠아스코빌에텔 1~2·아데노신 0.04(기능성)</t>
        </is>
      </c>
      <c r="I16" s="34" t="inlineStr">
        <is>
          <t>활성 합 10%↑면 따끔 주의</t>
        </is>
      </c>
      <c r="J16" s="34" t="inlineStr">
        <is>
          <t>석출(카페인·알란토인 고%) / 변색(C 유도체)</t>
        </is>
      </c>
      <c r="K16" s="34" t="inlineStr">
        <is>
          <t>활성마다 용해 조건 다름 → 하나씩 녹여 합치기</t>
        </is>
      </c>
      <c r="L16" s="34" t="inlineStr">
        <is>
          <t>✓ 가능</t>
        </is>
      </c>
    </row>
    <row r="17" ht="96" customHeight="1">
      <c r="A17" s="87" t="inlineStr">
        <is>
          <t>수딩 미스트</t>
        </is>
      </c>
      <c r="B17" s="34" t="inlineStr">
        <is>
          <t>뿌리는 순간 시원·가벼움</t>
        </is>
      </c>
      <c r="C17" s="34" t="inlineStr">
        <is>
          <t>물</t>
        </is>
      </c>
      <c r="D17" s="34" t="inlineStr">
        <is>
          <t>수상 단독</t>
        </is>
      </c>
      <c r="E17" s="34" t="inlineStr">
        <is>
          <t>95~99%</t>
        </is>
      </c>
      <c r="F17" s="34" t="inlineStr">
        <is>
          <t>0%</t>
        </is>
      </c>
      <c r="G17" s="34" t="inlineStr">
        <is>
          <t>하이드로졸(라벤더/캐모마일) 30·정제수·글리세린 2·판테놀 0.5·베타인 1·방부</t>
        </is>
      </c>
      <c r="H17" s="34" t="inlineStr">
        <is>
          <t>폴리글리세릴-4 카프레이트(향 시)</t>
        </is>
      </c>
      <c r="I17" s="34" t="inlineStr">
        <is>
          <t>보습제 5%↑면 끈적이며 분사 입자 굵어짐</t>
        </is>
      </c>
      <c r="J17" s="34" t="inlineStr">
        <is>
          <t>노즐 막힘→분말 덜 녹음 / 냄새 변함→미생물</t>
        </is>
      </c>
      <c r="K17" s="34" t="inlineStr">
        <is>
          <t>하이드로졸은 냉각상, 미스트 용기 소독</t>
        </is>
      </c>
      <c r="L17" s="34" t="inlineStr">
        <is>
          <t>✓ 가능(하이드로졸 구매 시)</t>
        </is>
      </c>
    </row>
    <row r="18" ht="96" customHeight="1">
      <c r="A18" s="87" t="inlineStr">
        <is>
          <t>클렌징 오일</t>
        </is>
      </c>
      <c r="B18" s="34" t="inlineStr">
        <is>
          <t>바를 땐 오일, 물 닿으면 우유처럼</t>
        </is>
      </c>
      <c r="C18" s="34" t="inlineStr">
        <is>
          <t>흐름</t>
        </is>
      </c>
      <c r="D18" s="34" t="inlineStr">
        <is>
          <t>오일 + 유화형 계면(물에 씻김)</t>
        </is>
      </c>
      <c r="E18" s="34" t="inlineStr">
        <is>
          <t>0%</t>
        </is>
      </c>
      <c r="F18" s="34" t="inlineStr">
        <is>
          <t>100%</t>
        </is>
      </c>
      <c r="G18" s="34" t="inlineStr">
        <is>
          <t>세틸에틸헥사노에이트/MCT 60~80·올리브리퀴드 또는 폴리소르베이트 5~15·토코페롤</t>
        </is>
      </c>
      <c r="H18" s="34" t="inlineStr">
        <is>
          <t>—</t>
        </is>
      </c>
      <c r="I18" s="34" t="inlineStr">
        <is>
          <t>유화제↑=잘 씻김·미끈 / ↓=잔여감</t>
        </is>
      </c>
      <c r="J18" s="34" t="inlineStr">
        <is>
          <t>물에 안 씻김→유화제 부족 / 뿌옇게 분리→물 혼입</t>
        </is>
      </c>
      <c r="K18" s="34" t="inlineStr">
        <is>
          <t>무수 → 물 튀지 않게, 건조 펌프 용기</t>
        </is>
      </c>
      <c r="L18" s="34" t="inlineStr">
        <is>
          <t>구매 필요(유화형 계면)</t>
        </is>
      </c>
    </row>
    <row r="19" ht="96" customHeight="1">
      <c r="A19" s="87" t="inlineStr">
        <is>
          <t>약산성 젤 클렌저</t>
        </is>
      </c>
      <c r="B19" s="34" t="inlineStr">
        <is>
          <t>순한 거품, 덜 당김</t>
        </is>
      </c>
      <c r="C19" s="34" t="inlineStr">
        <is>
          <t>중간</t>
        </is>
      </c>
      <c r="D19" s="34" t="inlineStr">
        <is>
          <t>아미노산계 + 양쪽성 + 점증</t>
        </is>
      </c>
      <c r="E19" s="34" t="inlineStr">
        <is>
          <t>60~75%</t>
        </is>
      </c>
      <c r="F19" s="34" t="inlineStr">
        <is>
          <t>0~2%</t>
        </is>
      </c>
      <c r="G19" s="34" t="inlineStr">
        <is>
          <t>정제수·애플계면활성제 15·CAPB 8·데실글루코사이드 5·글리세린 3·잔탄 0.5·구연산(pH 5.5)·방부</t>
        </is>
      </c>
      <c r="H19" s="34" t="inlineStr">
        <is>
          <t>폴리쿼터늄-10</t>
        </is>
      </c>
      <c r="I19" s="34" t="inlineStr">
        <is>
          <t>CAPB↑=거품·점도 / 글루코사이드↑=뽀득 / 소금 소량=점도</t>
        </is>
      </c>
      <c r="J19" s="34" t="inlineStr">
        <is>
          <t>점도 안 남→아미노산계 특성 / pH 높음→글루코사이드 원료 pH</t>
        </is>
      </c>
      <c r="K19" s="34" t="inlineStr">
        <is>
          <t>계면은 저어서 거품 안 나게(공기 혼입↓), 마지막 pH</t>
        </is>
      </c>
      <c r="L19" s="34" t="inlineStr">
        <is>
          <t>구매 필요(계면)</t>
        </is>
      </c>
    </row>
    <row r="20" ht="96" customHeight="1">
      <c r="A20" s="87" t="inlineStr">
        <is>
          <t>샴푸</t>
        </is>
      </c>
      <c r="B20" s="34" t="inlineStr">
        <is>
          <t>풍성한 거품, 엉킴↓</t>
        </is>
      </c>
      <c r="C20" s="34" t="inlineStr">
        <is>
          <t>중간</t>
        </is>
      </c>
      <c r="D20" s="34" t="inlineStr">
        <is>
          <t>주 계면 + 보조 계면 + 컨디셔닝 폴리머</t>
        </is>
      </c>
      <c r="E20" s="34" t="inlineStr">
        <is>
          <t>55~70%</t>
        </is>
      </c>
      <c r="F20" s="34" t="inlineStr">
        <is>
          <t>0~1%</t>
        </is>
      </c>
      <c r="G20" s="34" t="inlineStr">
        <is>
          <t>SLES or 아미노산계 12~15·CAPB 5~8·폴리쿼터늄-10 0.3·판테놀·멘톨 0.2·소금(점도)</t>
        </is>
      </c>
      <c r="H20" s="34" t="inlineStr">
        <is>
          <t>덱스판테놀·비오틴(탈모 기능성)</t>
        </is>
      </c>
      <c r="I20" s="34" t="inlineStr">
        <is>
          <t>소금 커브로 점도 / PQ-10↑=부드러움</t>
        </is>
      </c>
      <c r="J20" s="34" t="inlineStr">
        <is>
          <t>점도 떨어짐→소금 과다 / 뻣뻣→컨디셔닝 부족</t>
        </is>
      </c>
      <c r="K20" s="34" t="inlineStr">
        <is>
          <t>PQ-10 먼저 물에 분산·수화 → 계면 투입</t>
        </is>
      </c>
      <c r="L20" s="34" t="inlineStr">
        <is>
          <t>구매 필요</t>
        </is>
      </c>
    </row>
    <row r="21" ht="96" customHeight="1">
      <c r="A21" s="87" t="inlineStr">
        <is>
          <t>헤어 컨디셔너</t>
        </is>
      </c>
      <c r="B21" s="34" t="inlineStr">
        <is>
          <t>미끈·엉킴 없음</t>
        </is>
      </c>
      <c r="C21" s="34" t="inlineStr">
        <is>
          <t>중~높음</t>
        </is>
      </c>
      <c r="D21" s="34" t="inlineStr">
        <is>
          <t>양이온 유화(BTMS)</t>
        </is>
      </c>
      <c r="E21" s="34" t="inlineStr">
        <is>
          <t>85~92%</t>
        </is>
      </c>
      <c r="F21" s="34" t="inlineStr">
        <is>
          <t>5~10%</t>
        </is>
      </c>
      <c r="G21" s="34" t="inlineStr">
        <is>
          <t>BTMS-50 4·세틸알코올 2·아모다이메치콘 1·판테놀·방부·구연산(pH 4~5)</t>
        </is>
      </c>
      <c r="H21" s="34" t="inlineStr">
        <is>
          <t>실크아미노산·페닐트리메치콘</t>
        </is>
      </c>
      <c r="I21" s="34" t="inlineStr">
        <is>
          <t>BTMS↑=미끈·무거움 / 세틸↑=점도</t>
        </is>
      </c>
      <c r="J21" s="34" t="inlineStr">
        <is>
          <t>★ 음이온(잔탄·카보머) 넣으면 뭉침</t>
        </is>
      </c>
      <c r="K21" s="34" t="inlineStr">
        <is>
          <t>B상 75~80℃ 유화, pH 4~5</t>
        </is>
      </c>
      <c r="L21" s="34" t="inlineStr">
        <is>
          <t>구매 필요(BTMS)</t>
        </is>
      </c>
    </row>
    <row r="22" ht="96" customHeight="1">
      <c r="A22" s="87" t="inlineStr">
        <is>
          <t>립밤</t>
        </is>
      </c>
      <c r="B22" s="34" t="inlineStr">
        <is>
          <t>부드럽게 발리고 단단</t>
        </is>
      </c>
      <c r="C22" s="34" t="inlineStr">
        <is>
          <t>고체</t>
        </is>
      </c>
      <c r="D22" s="34" t="inlineStr">
        <is>
          <t>오일 + 왁스 + 버터</t>
        </is>
      </c>
      <c r="E22" s="34" t="inlineStr">
        <is>
          <t>0%</t>
        </is>
      </c>
      <c r="F22" s="34" t="inlineStr">
        <is>
          <t>100%</t>
        </is>
      </c>
      <c r="G22" s="34" t="inlineStr">
        <is>
          <t>칸데릴라 8~12(밀랍이면 15~20)·코코아/시어버터 20~30·피마자 20·MCT/호호바 나머지·토코페롤 0.5</t>
        </is>
      </c>
      <c r="H22" s="34" t="inlineStr">
        <is>
          <t>디이소스테아릴말레이트(광택)</t>
        </is>
      </c>
      <c r="I22" s="34" t="inlineStr">
        <is>
          <t>왁스↑=단단 / 피마자↑=광택·끈적 / 버터↑=녹는감</t>
        </is>
      </c>
      <c r="J22" s="34" t="inlineStr">
        <is>
          <t>그레이니→급냉 안 함 / 무름→왁스 부족(여름)</t>
        </is>
      </c>
      <c r="K22" s="34" t="inlineStr">
        <is>
          <t>75℃ 녹여 튜브에 붓고 냉장 급냉</t>
        </is>
      </c>
      <c r="L22" s="34" t="inlineStr">
        <is>
          <t>왁스 구매 시 가능</t>
        </is>
      </c>
    </row>
    <row r="23" ht="96" customHeight="1">
      <c r="A23" s="87" t="inlineStr">
        <is>
          <t>클레이 팩(워시오프)</t>
        </is>
      </c>
      <c r="B23" s="34" t="inlineStr">
        <is>
          <t>바를 땐 크리미, 마르면 매트</t>
        </is>
      </c>
      <c r="C23" s="34" t="inlineStr">
        <is>
          <t>높음(페이스트)</t>
        </is>
      </c>
      <c r="D23" s="34" t="inlineStr">
        <is>
          <t>점토 분산 + 보습</t>
        </is>
      </c>
      <c r="E23" s="34" t="inlineStr">
        <is>
          <t>50~70%</t>
        </is>
      </c>
      <c r="F23" s="34" t="inlineStr">
        <is>
          <t>0~5%</t>
        </is>
      </c>
      <c r="G23" s="34" t="inlineStr">
        <is>
          <t>정제수·카올린 20·벤토나이트 5·글리세린 5·잔탄 0.3·판테놀·방부</t>
        </is>
      </c>
      <c r="H23" s="34" t="inlineStr">
        <is>
          <t>Veegum(침강 방지)</t>
        </is>
      </c>
      <c r="I23" s="34" t="inlineStr">
        <is>
          <t>벤토나이트↑=흡착·끈기 / 글리세린↑=덜 당김</t>
        </is>
      </c>
      <c r="J23" s="34" t="inlineStr">
        <is>
          <t>갈라짐→보습 부족 / 분리→점토 침강</t>
        </is>
      </c>
      <c r="K23" s="34" t="inlineStr">
        <is>
          <t>점토는 체에 쳐서 분산, 멸균 원료 사용</t>
        </is>
      </c>
      <c r="L23" s="34" t="inlineStr">
        <is>
          <t>점토 구매 시 가능</t>
        </is>
      </c>
    </row>
    <row r="24" ht="96" customHeight="1">
      <c r="A24" s="87" t="inlineStr">
        <is>
          <t>바디 스크럽</t>
        </is>
      </c>
      <c r="B24" s="34" t="inlineStr">
        <is>
          <t>사각사각·씻은 뒤 촉촉</t>
        </is>
      </c>
      <c r="C24" s="34" t="inlineStr">
        <is>
          <t>높음</t>
        </is>
      </c>
      <c r="D24" s="34" t="inlineStr">
        <is>
          <t>오일 + 입자(무수)</t>
        </is>
      </c>
      <c r="E24" s="34" t="inlineStr">
        <is>
          <t>0%</t>
        </is>
      </c>
      <c r="F24" s="34" t="inlineStr">
        <is>
          <t>100%</t>
        </is>
      </c>
      <c r="G24" s="34" t="inlineStr">
        <is>
          <t>설탕/소금 50~60·시어버터 10·스윗아몬드 20·올리브리퀴드 5·토코페롤</t>
        </is>
      </c>
      <c r="H24" s="34" t="inlineStr">
        <is>
          <t>—</t>
        </is>
      </c>
      <c r="I24" s="34" t="inlineStr">
        <is>
          <t>유화제↑=물에 잘 씻김 / 입자 크기=자극</t>
        </is>
      </c>
      <c r="J24" s="34" t="inlineStr">
        <is>
          <t>오일 분리→버터·왁스로 점도 / 딱딱→버터 과다</t>
        </is>
      </c>
      <c r="K24" s="34" t="inlineStr">
        <is>
          <t>★ 얼굴엔 사용 X(입자 자극), 물 혼입 금지</t>
        </is>
      </c>
      <c r="L24" s="34" t="inlineStr">
        <is>
          <t>구매 필요(입자)</t>
        </is>
      </c>
    </row>
    <row r="25" ht="96" customHeight="1">
      <c r="A25" s="87" t="inlineStr">
        <is>
          <t>배스밤</t>
        </is>
      </c>
      <c r="B25" s="34" t="inlineStr">
        <is>
          <t>물에 넣으면 거품·발포</t>
        </is>
      </c>
      <c r="C25" s="34" t="inlineStr">
        <is>
          <t>고체</t>
        </is>
      </c>
      <c r="D25" s="34" t="inlineStr">
        <is>
          <t>산-염기 발포 + 계면</t>
        </is>
      </c>
      <c r="E25" s="34" t="inlineStr">
        <is>
          <t>0%</t>
        </is>
      </c>
      <c r="F25" s="34" t="inlineStr">
        <is>
          <t>~5%</t>
        </is>
      </c>
      <c r="G25" s="34" t="inlineStr">
        <is>
          <t>베이킹소다 50·구연산 25·옥수수전분 10·SLSA 5~10·오일 3~5·위치하젤 분사(성형)</t>
        </is>
      </c>
      <c r="H25" s="34" t="inlineStr">
        <is>
          <t>—</t>
        </is>
      </c>
      <c r="I25" s="34" t="inlineStr">
        <is>
          <t>구연산 비율=발포 세기 / SLSA=거품</t>
        </is>
      </c>
      <c r="J25" s="34" t="inlineStr">
        <is>
          <t>미리 부풂→습기 / 부서짐→결합 수분 부족</t>
        </is>
      </c>
      <c r="K25" s="34" t="inlineStr">
        <is>
          <t>습도 낮은 날, 분사하며 성형</t>
        </is>
      </c>
      <c r="L25" s="34" t="inlineStr">
        <is>
          <t>구매 필요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6" customWidth="1" min="2" max="2"/>
    <col width="24" customWidth="1" min="3" max="3"/>
    <col width="26" customWidth="1" min="4" max="4"/>
    <col width="34" customWidth="1" min="5" max="5"/>
    <col width="28" customWidth="1" min="6" max="6"/>
  </cols>
  <sheetData>
    <row r="1" ht="26" customHeight="1">
      <c r="A1" s="1" t="inlineStr">
        <is>
          <t>감촉 레버 — 원하는 느낌으로 옮기는 손잡이</t>
        </is>
      </c>
    </row>
    <row r="2" ht="48" customHeight="1">
      <c r="A2" s="2" t="inlineStr">
        <is>
          <t>만든 제형이 마음에 안 들 때: 원하는 변화 행을 찾아 '올리기/내리기/바꾸기' 중 하나만 바꿔 다시 만든다(한 번에 한 변수).</t>
        </is>
      </c>
    </row>
    <row r="4">
      <c r="A4" s="7" t="inlineStr">
        <is>
          <t>원하는 변화</t>
        </is>
      </c>
      <c r="B4" s="7" t="inlineStr">
        <is>
          <t>올리기(+)</t>
        </is>
      </c>
      <c r="C4" s="7" t="inlineStr">
        <is>
          <t>내리기(−)</t>
        </is>
      </c>
      <c r="D4" s="7" t="inlineStr">
        <is>
          <t>바꾸기(A→B)</t>
        </is>
      </c>
      <c r="E4" s="7" t="inlineStr">
        <is>
          <t>원리</t>
        </is>
      </c>
      <c r="F4" s="7" t="inlineStr">
        <is>
          <t>확인 실험</t>
        </is>
      </c>
    </row>
    <row r="5" ht="44" customHeight="1">
      <c r="A5" s="87" t="inlineStr">
        <is>
          <t>더 산뜻하게(덜 끈적)</t>
        </is>
      </c>
      <c r="B5" s="34" t="inlineStr">
        <is>
          <t>프로판디올·베타인 비중</t>
        </is>
      </c>
      <c r="C5" s="34" t="inlineStr">
        <is>
          <t>글리세린·판테놀%·HA%</t>
        </is>
      </c>
      <c r="D5" s="34" t="inlineStr">
        <is>
          <t>글리세린 일부→베타인</t>
        </is>
      </c>
      <c r="E5" s="34" t="inlineStr">
        <is>
          <t>다가알코올 중 글리세린이 가장 끈적</t>
        </is>
      </c>
      <c r="F5" s="34" t="inlineStr">
        <is>
          <t>글리세린 5% vs 글리세린2+베타인3</t>
        </is>
      </c>
    </row>
    <row r="6" ht="44" customHeight="1">
      <c r="A6" s="87" t="inlineStr">
        <is>
          <t>더 촉촉하게</t>
        </is>
      </c>
      <c r="B6" s="34" t="inlineStr">
        <is>
          <t>글리세린·HA·베타글루칸</t>
        </is>
      </c>
      <c r="C6" s="34" t="inlineStr">
        <is>
          <t>—</t>
        </is>
      </c>
      <c r="D6" s="34" t="inlineStr">
        <is>
          <t>—</t>
        </is>
      </c>
      <c r="E6" s="34" t="inlineStr">
        <is>
          <t>휴멕턴트 + 막 형성 고분자</t>
        </is>
      </c>
      <c r="F6" s="34" t="inlineStr">
        <is>
          <t>HA 0.05→0.15</t>
        </is>
      </c>
    </row>
    <row r="7" ht="44" customHeight="1">
      <c r="A7" s="87" t="inlineStr">
        <is>
          <t>더 쫀쫀(바디감)</t>
        </is>
      </c>
      <c r="B7" s="34" t="inlineStr">
        <is>
          <t>몬타노브·세틸알코올</t>
        </is>
      </c>
      <c r="C7" s="34" t="inlineStr">
        <is>
          <t>물</t>
        </is>
      </c>
      <c r="D7" s="34" t="inlineStr">
        <is>
          <t>올리벰→몬타노브</t>
        </is>
      </c>
      <c r="E7" s="34" t="inlineStr">
        <is>
          <t>액정 + 지방알코올 망상 구조</t>
        </is>
      </c>
      <c r="F7" s="34" t="inlineStr">
        <is>
          <t>세틸 1 vs 2 vs 3</t>
        </is>
      </c>
    </row>
    <row r="8" ht="44" customHeight="1">
      <c r="A8" s="87" t="inlineStr">
        <is>
          <t>더 묽게(로션화)</t>
        </is>
      </c>
      <c r="B8" s="34" t="inlineStr">
        <is>
          <t>물</t>
        </is>
      </c>
      <c r="C8" s="34" t="inlineStr">
        <is>
          <t>세틸알코올·유화제·잔탄</t>
        </is>
      </c>
      <c r="D8" s="34" t="inlineStr">
        <is>
          <t>몬타노브→Tego Care</t>
        </is>
      </c>
      <c r="E8" s="34" t="inlineStr">
        <is>
          <t>지방알코올이 점도 대부분을 만든다</t>
        </is>
      </c>
      <c r="F8" s="34" t="inlineStr">
        <is>
          <t>세틸 0 vs 1</t>
        </is>
      </c>
    </row>
    <row r="9" ht="44" customHeight="1">
      <c r="A9" s="87" t="inlineStr">
        <is>
          <t>바를 때 하얘짐(소핑) 없애기</t>
        </is>
      </c>
      <c r="B9" s="34" t="inlineStr">
        <is>
          <t>디메치콘 1~2%·에스터</t>
        </is>
      </c>
      <c r="C9" s="34" t="inlineStr">
        <is>
          <t>세틸·스테아릴 알코올</t>
        </is>
      </c>
      <c r="D9" s="34" t="inlineStr">
        <is>
          <t>—</t>
        </is>
      </c>
      <c r="E9" s="34" t="inlineStr">
        <is>
          <t>지방알코올 결정이 문지를 때 거품처럼 보임</t>
        </is>
      </c>
      <c r="F9" s="34" t="inlineStr">
        <is>
          <t>디메치콘 0 vs 2</t>
        </is>
      </c>
    </row>
    <row r="10" ht="44" customHeight="1">
      <c r="A10" s="87" t="inlineStr">
        <is>
          <t>흡수 빠르게</t>
        </is>
      </c>
      <c r="B10" s="34" t="inlineStr">
        <is>
          <t>스쿠알란·코코카프릴레이트</t>
        </is>
      </c>
      <c r="C10" s="34" t="inlineStr">
        <is>
          <t>시어·호호바</t>
        </is>
      </c>
      <c r="D10" s="34" t="inlineStr">
        <is>
          <t>MCT→스쿠알란</t>
        </is>
      </c>
      <c r="E10" s="34" t="inlineStr">
        <is>
          <t>저점도·분지/포화 오일 = 빠른 퍼짐</t>
        </is>
      </c>
      <c r="F10" s="34" t="inlineStr">
        <is>
          <t>오일 한 방울 퍼짐 면적</t>
        </is>
      </c>
    </row>
    <row r="11" ht="44" customHeight="1">
      <c r="A11" s="87" t="inlineStr">
        <is>
          <t>기름짐·번들거림 줄이기</t>
        </is>
      </c>
      <c r="B11" s="34" t="inlineStr">
        <is>
          <t>실리카·전분 0.5~2%</t>
        </is>
      </c>
      <c r="C11" s="34" t="inlineStr">
        <is>
          <t>총 유상%</t>
        </is>
      </c>
      <c r="D11" s="34" t="inlineStr">
        <is>
          <t>무거운 오일→에스터</t>
        </is>
      </c>
      <c r="E11" s="34" t="inlineStr">
        <is>
          <t>분말이 표면 유분 흡착</t>
        </is>
      </c>
      <c r="F11" s="34" t="inlineStr">
        <is>
          <t>타피오카 0 vs 2</t>
        </is>
      </c>
    </row>
    <row r="12" ht="44" customHeight="1">
      <c r="A12" s="87" t="inlineStr">
        <is>
          <t>보호막·리치하게</t>
        </is>
      </c>
      <c r="B12" s="34" t="inlineStr">
        <is>
          <t>시어버터·미네랄오일</t>
        </is>
      </c>
      <c r="C12" s="34" t="inlineStr">
        <is>
          <t>에스터</t>
        </is>
      </c>
      <c r="D12" s="34" t="inlineStr">
        <is>
          <t>MCT→시어</t>
        </is>
      </c>
      <c r="E12" s="34" t="inlineStr">
        <is>
          <t>차폐성(수분 증발 차단)</t>
        </is>
      </c>
      <c r="F12" s="34" t="inlineStr">
        <is>
          <t>물방울 튕김 테스트</t>
        </is>
      </c>
    </row>
    <row r="13" ht="44" customHeight="1">
      <c r="A13" s="87" t="inlineStr">
        <is>
          <t>투명 젤로</t>
        </is>
      </c>
      <c r="B13" s="34" t="inlineStr">
        <is>
          <t>카보머</t>
        </is>
      </c>
      <c r="C13" s="34" t="inlineStr">
        <is>
          <t>잔탄</t>
        </is>
      </c>
      <c r="D13" s="34" t="inlineStr">
        <is>
          <t>잔탄→카보머/HEC</t>
        </is>
      </c>
      <c r="E13" s="34" t="inlineStr">
        <is>
          <t>잔탄은 본질적으로 탁함</t>
        </is>
      </c>
      <c r="F13" s="34" t="inlineStr">
        <is>
          <t>잔탄 vs 카보머 글자 비쳐 보기</t>
        </is>
      </c>
    </row>
    <row r="14" ht="44" customHeight="1">
      <c r="A14" s="87" t="inlineStr">
        <is>
          <t>실끈(콧물감) 없애기</t>
        </is>
      </c>
      <c r="B14" s="34" t="inlineStr">
        <is>
          <t>HEC·스클레로튬</t>
        </is>
      </c>
      <c r="C14" s="34" t="inlineStr">
        <is>
          <t>잔탄</t>
        </is>
      </c>
      <c r="D14" s="34" t="inlineStr">
        <is>
          <t>잔탄 일부→HEC</t>
        </is>
      </c>
      <c r="E14" s="34" t="inlineStr">
        <is>
          <t>잔탄 긴 사슬이 늘어남</t>
        </is>
      </c>
      <c r="F14" s="34" t="inlineStr">
        <is>
          <t>잔탄 0.5 vs 잔탄0.25+HEC0.25</t>
        </is>
      </c>
    </row>
    <row r="15" ht="44" customHeight="1">
      <c r="A15" s="87" t="inlineStr">
        <is>
          <t>미끄러운 슬립</t>
        </is>
      </c>
      <c r="B15" s="34" t="inlineStr">
        <is>
          <t>디메치콘·코코카프릴레이트</t>
        </is>
      </c>
      <c r="C15" s="34" t="inlineStr">
        <is>
          <t>점증제%</t>
        </is>
      </c>
      <c r="D15" s="34" t="inlineStr">
        <is>
          <t>—</t>
        </is>
      </c>
      <c r="E15" s="34" t="inlineStr">
        <is>
          <t>저표면장력 막</t>
        </is>
      </c>
      <c r="F15" s="34" t="inlineStr">
        <is>
          <t>디메치콘 2%</t>
        </is>
      </c>
    </row>
    <row r="16" ht="44" customHeight="1">
      <c r="A16" s="87" t="inlineStr">
        <is>
          <t>보송·매트 마무리</t>
        </is>
      </c>
      <c r="B16" s="34" t="inlineStr">
        <is>
          <t>실리카·디메치콘크로스폴리머</t>
        </is>
      </c>
      <c r="C16" s="34" t="inlineStr">
        <is>
          <t>글리세린·오일</t>
        </is>
      </c>
      <c r="D16" s="34" t="inlineStr">
        <is>
          <t>—</t>
        </is>
      </c>
      <c r="E16" s="34" t="inlineStr">
        <is>
          <t>분말·엘라스토머의 소프트포커스</t>
        </is>
      </c>
      <c r="F16" s="34" t="inlineStr">
        <is>
          <t>실리카 1%</t>
        </is>
      </c>
    </row>
    <row r="17" ht="44" customHeight="1">
      <c r="A17" s="87" t="inlineStr">
        <is>
          <t>윤기·광택</t>
        </is>
      </c>
      <c r="B17" s="34" t="inlineStr">
        <is>
          <t>동백·페닐트리메치콘·디이소스테아릴말레이트</t>
        </is>
      </c>
      <c r="C17" s="34" t="inlineStr">
        <is>
          <t>분말</t>
        </is>
      </c>
      <c r="D17" s="34" t="inlineStr">
        <is>
          <t>—</t>
        </is>
      </c>
      <c r="E17" s="34" t="inlineStr">
        <is>
          <t>굴절률 높은 오일</t>
        </is>
      </c>
      <c r="F17" s="34" t="inlineStr">
        <is>
          <t>동백 vs MCT 거울 앞 비교</t>
        </is>
      </c>
    </row>
    <row r="18" ht="44" customHeight="1">
      <c r="A18" s="87" t="inlineStr">
        <is>
          <t>시원한 느낌</t>
        </is>
      </c>
      <c r="B18" s="34" t="inlineStr">
        <is>
          <t>물%·알코올(에탄올)·우레아</t>
        </is>
      </c>
      <c r="C18" s="34" t="inlineStr">
        <is>
          <t>오일</t>
        </is>
      </c>
      <c r="D18" s="34" t="inlineStr">
        <is>
          <t>—</t>
        </is>
      </c>
      <c r="E18" s="34" t="inlineStr">
        <is>
          <t>증발/흡열</t>
        </is>
      </c>
      <c r="F18" s="34" t="inlineStr">
        <is>
          <t>우레아 녹일 때 온도</t>
        </is>
      </c>
    </row>
    <row r="19" ht="44" customHeight="1">
      <c r="A19" s="87" t="inlineStr">
        <is>
          <t>따끔거림 줄이기</t>
        </is>
      </c>
      <c r="B19" s="34" t="inlineStr">
        <is>
          <t>베타인·판테놀·알란토인</t>
        </is>
      </c>
      <c r="C19" s="34" t="inlineStr">
        <is>
          <t>나이아신·산·고%헥산디올</t>
        </is>
      </c>
      <c r="D19" s="34" t="inlineStr">
        <is>
          <t>헥산디올 일부→페녹시</t>
        </is>
      </c>
      <c r="E19" s="34" t="inlineStr">
        <is>
          <t>자극원 %↓ + 진정 보조</t>
        </is>
      </c>
      <c r="F19" s="34" t="inlineStr">
        <is>
          <t>나이아신 2 vs 5</t>
        </is>
      </c>
    </row>
    <row r="20" ht="44" customHeight="1">
      <c r="A20" s="87" t="inlineStr">
        <is>
          <t>향 없이 원료 냄새 가리기</t>
        </is>
      </c>
      <c r="B20" s="34" t="inlineStr">
        <is>
          <t>정제 등급 원료</t>
        </is>
      </c>
      <c r="C20" s="34" t="inlineStr">
        <is>
          <t>미정제 버터·추출물</t>
        </is>
      </c>
      <c r="D20" s="34" t="inlineStr">
        <is>
          <t>골든호호바→정제</t>
        </is>
      </c>
      <c r="E20" s="34" t="inlineStr">
        <is>
          <t>가공(탈취)이 냄새를 없앤다</t>
        </is>
      </c>
      <c r="F20" s="34" t="inlineStr">
        <is>
          <t>골든 vs 정제 냄새</t>
        </is>
      </c>
    </row>
    <row r="21" ht="44" customHeight="1">
      <c r="A21" s="87" t="inlineStr">
        <is>
          <t>시간 지나 묽어짐 막기</t>
        </is>
      </c>
      <c r="B21" s="34" t="inlineStr">
        <is>
          <t>잔탄 0.1~0.2(보조)</t>
        </is>
      </c>
      <c r="C21" s="34" t="inlineStr">
        <is>
          <t>전해질</t>
        </is>
      </c>
      <c r="D21" s="34" t="inlineStr">
        <is>
          <t>카보머→HEC(전해질 있을 때)</t>
        </is>
      </c>
      <c r="E21" s="34" t="inlineStr">
        <is>
          <t>전해질이 음이온 고분자 망을 무너뜨림</t>
        </is>
      </c>
      <c r="F21" s="34" t="inlineStr">
        <is>
          <t>아연피카 넣은 카보머</t>
        </is>
      </c>
    </row>
    <row r="22" ht="44" customHeight="1">
      <c r="A22" s="87" t="inlineStr">
        <is>
          <t>pH 오래 유지</t>
        </is>
      </c>
      <c r="B22" s="34" t="inlineStr">
        <is>
          <t>소듐시트레이트(버퍼)</t>
        </is>
      </c>
      <c r="C22" s="34" t="inlineStr">
        <is>
          <t>—</t>
        </is>
      </c>
      <c r="D22" s="34" t="inlineStr">
        <is>
          <t>구연산 단독→구연산+시트레이트</t>
        </is>
      </c>
      <c r="E22" s="34" t="inlineStr">
        <is>
          <t>버퍼 = 약산 + 짝염기</t>
        </is>
      </c>
      <c r="F22" s="34" t="inlineStr">
        <is>
          <t>1주 뒤 pH 재측정</t>
        </is>
      </c>
    </row>
    <row r="23" ht="44" customHeight="1">
      <c r="A23" s="87" t="inlineStr">
        <is>
          <t>갈변·변색 막기</t>
        </is>
      </c>
      <c r="B23" s="34" t="inlineStr">
        <is>
          <t>EDTA/피테이트·토코페롤</t>
        </is>
      </c>
      <c r="C23" s="34" t="inlineStr">
        <is>
          <t>추출물%·고pH</t>
        </is>
      </c>
      <c r="D23" s="34" t="inlineStr">
        <is>
          <t>녹차추출물→정제 단일성분</t>
        </is>
      </c>
      <c r="E23" s="34" t="inlineStr">
        <is>
          <t>금속 이온·산화가 폴리페놀 변색 촉진</t>
        </is>
      </c>
      <c r="F23" s="34" t="inlineStr">
        <is>
          <t>EDTA 유/무 녹차 수용액 1주</t>
        </is>
      </c>
    </row>
    <row r="24" ht="44" customHeight="1">
      <c r="A24" s="87" t="inlineStr">
        <is>
          <t>오일 산패 늦추기</t>
        </is>
      </c>
      <c r="B24" s="34" t="inlineStr">
        <is>
          <t>토코페롤 0.1~0.5%·로즈마리추출물</t>
        </is>
      </c>
      <c r="C24" s="34" t="inlineStr">
        <is>
          <t>로즈힙·햄프·달맞이%</t>
        </is>
      </c>
      <c r="D24" s="34" t="inlineStr">
        <is>
          <t>해바라기→하이올레익/MCT</t>
        </is>
      </c>
      <c r="E24" s="34" t="inlineStr">
        <is>
          <t>다중불포화 지방산이 먼저 산화</t>
        </is>
      </c>
      <c r="F24" s="34" t="inlineStr">
        <is>
          <t>토코페롤 유/무 창가 2주</t>
        </is>
      </c>
    </row>
    <row r="25" ht="44" customHeight="1">
      <c r="A25" s="87" t="inlineStr">
        <is>
          <t>거품 풍성하게(세정)</t>
        </is>
      </c>
      <c r="B25" s="34" t="inlineStr">
        <is>
          <t>CAPB·SLSA·SCI</t>
        </is>
      </c>
      <c r="C25" s="34" t="inlineStr">
        <is>
          <t>글루코사이드 비중</t>
        </is>
      </c>
      <c r="D25" s="34" t="inlineStr">
        <is>
          <t>아미노산계 일부→SCI</t>
        </is>
      </c>
      <c r="E25" s="34" t="inlineStr">
        <is>
          <t>양쪽성 보조 계면이 거품 안정</t>
        </is>
      </c>
      <c r="F25" s="34" t="inlineStr">
        <is>
          <t>CAPB 0 vs 8%</t>
        </is>
      </c>
    </row>
    <row r="26" ht="44" customHeight="1">
      <c r="A26" s="87" t="inlineStr">
        <is>
          <t>세정 후 당김 줄이기</t>
        </is>
      </c>
      <c r="B26" s="34" t="inlineStr">
        <is>
          <t>글리세린·폴리쿼터늄-10·CAPB</t>
        </is>
      </c>
      <c r="C26" s="34" t="inlineStr">
        <is>
          <t>SLES·글루코사이드</t>
        </is>
      </c>
      <c r="D26" s="34" t="inlineStr">
        <is>
          <t>SLES→아미노산계</t>
        </is>
      </c>
      <c r="E26" s="34" t="inlineStr">
        <is>
          <t>세정력↓·잔류 컨디셔닝</t>
        </is>
      </c>
      <c r="F26" s="34" t="inlineStr">
        <is>
          <t>세안 후 10분 당김 기록</t>
        </is>
      </c>
    </row>
    <row r="27" ht="44" customHeight="1">
      <c r="A27" s="87" t="inlineStr">
        <is>
          <t>세정제 점도 올리기</t>
        </is>
      </c>
      <c r="B27" s="34" t="inlineStr">
        <is>
          <t>소금 0.5~1.5%(설페이트계)·잔탄·PEG-free 증점제</t>
        </is>
      </c>
      <c r="C27" s="34" t="inlineStr">
        <is>
          <t>물</t>
        </is>
      </c>
      <c r="D27" s="34" t="inlineStr">
        <is>
          <t>—</t>
        </is>
      </c>
      <c r="E27" s="34" t="inlineStr">
        <is>
          <t>음이온+양쪽성 미셀 성장(소금 커브)</t>
        </is>
      </c>
      <c r="F27" s="34" t="inlineStr">
        <is>
          <t>소금 0.5% 단위 투입</t>
        </is>
      </c>
    </row>
    <row r="28" ht="44" customHeight="1">
      <c r="A28" s="87" t="inlineStr">
        <is>
          <t>향을 물에 투명하게</t>
        </is>
      </c>
      <c r="B28" s="34" t="inlineStr">
        <is>
          <t>가용화제(향의 3~5배)</t>
        </is>
      </c>
      <c r="C28" s="34" t="inlineStr">
        <is>
          <t>향%</t>
        </is>
      </c>
      <c r="D28" s="34" t="inlineStr">
        <is>
          <t>폴리소르베이트→폴리글리세릴-4 카프레이트(PEG-free)</t>
        </is>
      </c>
      <c r="E28" s="34" t="inlineStr">
        <is>
          <t>미셀이 오일 방울을 감쌈</t>
        </is>
      </c>
      <c r="F28" s="34" t="inlineStr">
        <is>
          <t>향 0.1 + 가용화제 0.3/0.5</t>
        </is>
      </c>
    </row>
    <row r="29" ht="44" customHeight="1">
      <c r="A29" s="87" t="inlineStr">
        <is>
          <t>향 오래 남게</t>
        </is>
      </c>
      <c r="B29" s="34" t="inlineStr">
        <is>
          <t>베이스노트(시더우드·프랑킨센스)</t>
        </is>
      </c>
      <c r="C29" s="34" t="inlineStr">
        <is>
          <t>탑노트(시트러스) 비중</t>
        </is>
      </c>
      <c r="D29" s="34" t="inlineStr">
        <is>
          <t>—</t>
        </is>
      </c>
      <c r="E29" s="34" t="inlineStr">
        <is>
          <t>분자량 큰 향이 천천히 휘발</t>
        </is>
      </c>
      <c r="F29" s="34" t="inlineStr">
        <is>
          <t>탑:미들:베이스 1:2:1</t>
        </is>
      </c>
    </row>
    <row r="30" ht="44" customHeight="1">
      <c r="A30" s="87" t="inlineStr">
        <is>
          <t>립 광택 올리기</t>
        </is>
      </c>
      <c r="B30" s="34" t="inlineStr">
        <is>
          <t>피마자·디이소스테아릴말레이트</t>
        </is>
      </c>
      <c r="C30" s="34" t="inlineStr">
        <is>
          <t>왁스·분말</t>
        </is>
      </c>
      <c r="D30" s="34" t="inlineStr">
        <is>
          <t>밀랍→칸데릴라(소량·광택)</t>
        </is>
      </c>
      <c r="E30" s="34" t="inlineStr">
        <is>
          <t>고점도·고굴절 오일이 광택막</t>
        </is>
      </c>
      <c r="F30" s="34" t="inlineStr">
        <is>
          <t>피마자 10 vs 30</t>
        </is>
      </c>
    </row>
    <row r="31" ht="44" customHeight="1">
      <c r="A31" s="87" t="inlineStr">
        <is>
          <t>밤 덜 끈적이게</t>
        </is>
      </c>
      <c r="B31" s="34" t="inlineStr">
        <is>
          <t>칸데릴라(밀랍 대신)·전분</t>
        </is>
      </c>
      <c r="C31" s="34" t="inlineStr">
        <is>
          <t>밀랍·피마자</t>
        </is>
      </c>
      <c r="D31" s="34" t="inlineStr">
        <is>
          <t>밀랍→칸데릴라</t>
        </is>
      </c>
      <c r="E31" s="34" t="inlineStr">
        <is>
          <t>밀랍은 끈적한 막</t>
        </is>
      </c>
      <c r="F31" s="34" t="inlineStr">
        <is>
          <t>밀랍 vs 칸데릴라 같은 경도</t>
        </is>
      </c>
    </row>
    <row r="32" ht="44" customHeight="1">
      <c r="A32" s="87" t="inlineStr">
        <is>
          <t>클렌징 오일 잘 씻기게</t>
        </is>
      </c>
      <c r="B32" s="34" t="inlineStr">
        <is>
          <t>유화형 계면(올리브리퀴드 등)</t>
        </is>
      </c>
      <c r="C32" s="34" t="inlineStr">
        <is>
          <t>무거운 오일</t>
        </is>
      </c>
      <c r="D32" s="34" t="inlineStr">
        <is>
          <t>식물유→세틸에틸헥사노에이트</t>
        </is>
      </c>
      <c r="E32" s="34" t="inlineStr">
        <is>
          <t>물 닿을 때 O/W 유화</t>
        </is>
      </c>
      <c r="F32" s="34" t="inlineStr">
        <is>
          <t>손에 물 묻혀 유화 테스트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7" customWidth="1" min="2" max="2"/>
    <col width="40" customWidth="1" min="3" max="3"/>
    <col width="36" customWidth="1" min="4" max="4"/>
    <col width="34" customWidth="1" min="5" max="5"/>
    <col width="30" customWidth="1" min="6" max="6"/>
    <col width="36" customWidth="1" min="7" max="7"/>
    <col width="30" customWidth="1" min="8" max="8"/>
    <col width="10" customWidth="1" min="9" max="9"/>
  </cols>
  <sheetData>
    <row r="1" ht="26" customHeight="1">
      <c r="A1" s="1" t="inlineStr">
        <is>
          <t>블렌드 해부 — 상품명·블렌드 원료 26종을 단일 원료로 쪼개 읽기</t>
        </is>
      </c>
    </row>
    <row r="2" ht="48" customHeight="1">
      <c r="A2" s="2" t="inlineStr">
        <is>
          <t>허브누리 레시피에 자주 나오지만 성분이 공개되지 않은 원료. 카드를 지어내지 않고 '무엇으로 만들었을까 → 내 카드 어디와 연결되나 → 직접 만들면 → 살 때 무엇을 받아야 하나'로 정리. 추정 주성분은 판매처 설명 기반 (예) — 공급사 전성분/TDS로 확정. OEM·판매처에 물어볼 질문 목록으로 그대로 쓰기. 상태 칸은 자유 입력(재생성해도 보존).</t>
        </is>
      </c>
    </row>
    <row r="4">
      <c r="A4" s="7" t="inlineStr">
        <is>
          <t>원료(도감)</t>
        </is>
      </c>
      <c r="B4" s="7" t="inlineStr">
        <is>
          <t>등장수</t>
        </is>
      </c>
      <c r="C4" s="7" t="inlineStr">
        <is>
          <t>판매처 설명(도감)</t>
        </is>
      </c>
      <c r="D4" s="7" t="inlineStr">
        <is>
          <t>추정 주성분(예)</t>
        </is>
      </c>
      <c r="E4" s="7" t="inlineStr">
        <is>
          <t>연결 카드</t>
        </is>
      </c>
      <c r="F4" s="7" t="inlineStr">
        <is>
          <t>직접 만들면(≈%)</t>
        </is>
      </c>
      <c r="G4" s="7" t="inlineStr">
        <is>
          <t>살 때 받을 자료·질문</t>
        </is>
      </c>
      <c r="H4" s="7" t="inlineStr">
        <is>
          <t>광고 표현 주의</t>
        </is>
      </c>
      <c r="I4" s="7" t="inlineStr">
        <is>
          <t>상태</t>
        </is>
      </c>
    </row>
    <row r="5" ht="62" customHeight="1">
      <c r="A5" s="87" t="inlineStr">
        <is>
          <t>로즈플라워겔</t>
        </is>
      </c>
      <c r="B5" s="34" t="n">
        <v>36</v>
      </c>
      <c r="C5" s="34" t="inlineStr">
        <is>
          <t>불가리아 다마스크 장미수가 함유된 젤상 수상 원료. 즉각적인 수분 공급 및 수렴·진정.</t>
        </is>
      </c>
      <c r="D5" s="34" t="inlineStr">
        <is>
          <t>(예) 다마스크 로즈워터 + 점증제(카보머/잔탄) + 알란토인 + 보존 성분</t>
        </is>
      </c>
      <c r="E5" s="34" t="inlineStr">
        <is>
          <t>로즈워터(하이드로졸) · 카보머 · 알란토인</t>
        </is>
      </c>
      <c r="F5" s="34" t="inlineStr">
        <is>
          <t>로즈워터 97 + 카보머 0.3(중화) + 알란토인 0.1 + 방부</t>
        </is>
      </c>
      <c r="G5" s="34" t="inlineStr">
        <is>
          <t>전성분 순서, 점증제 종류(전해질 넣을 때 깨지는지), 방부 성분</t>
        </is>
      </c>
      <c r="H5" s="34" t="inlineStr">
        <is>
          <t>'수렴·진정'은 무난, '염증 완화'는 금지</t>
        </is>
      </c>
      <c r="I5" s="39" t="n"/>
    </row>
    <row r="6" ht="62" customHeight="1">
      <c r="A6" s="87" t="inlineStr">
        <is>
          <t>로즈플라워 아로마수</t>
        </is>
      </c>
      <c r="B6" s="34" t="n">
        <v>3</v>
      </c>
      <c r="C6" s="34" t="inlineStr">
        <is>
          <t>아로마 오일 가용화 및 자생적 보존력을 높인 수용성 보존 처방 베이스(로즈플라워 향).</t>
        </is>
      </c>
      <c r="D6" s="34" t="inlineStr">
        <is>
          <t>(예) 정제수/로즈워터 + 가용화제(폴리소르베이트20 등) + 향료/EO + 보존 성분</t>
        </is>
      </c>
      <c r="E6" s="34" t="inlineStr">
        <is>
          <t>로즈워터(하이드로졸) · 폴리소르베이트20 · 로즈제라늄에센셜오일</t>
        </is>
      </c>
      <c r="F6" s="34" t="inlineStr">
        <is>
          <t>정제수 95 + (EO 0.2 : 폴리소르베이트20 0.8 선혼합) + 방부</t>
        </is>
      </c>
      <c r="G6" s="34" t="inlineStr">
        <is>
          <t>가용화제 종류·%, 향이 EO인지 합성 향료인지, 알레르기 성분</t>
        </is>
      </c>
      <c r="H6" s="34" t="inlineStr">
        <is>
          <t>'자생적 보존력' = 방부 대체 아님 → 방부 시스템 별도 확인</t>
        </is>
      </c>
      <c r="I6" s="39" t="n"/>
    </row>
    <row r="7" ht="62" customHeight="1">
      <c r="A7" s="87" t="inlineStr">
        <is>
          <t>오렌지꽃 아로마수</t>
        </is>
      </c>
      <c r="B7" s="34" t="n">
        <v>3</v>
      </c>
      <c r="C7" s="34" t="inlineStr">
        <is>
          <t>네롤리와 일랑일랑 에센셜 오일이 수용화되어 깔끔하게 섞이는 아로마 워터 처방.</t>
        </is>
      </c>
      <c r="D7" s="34" t="inlineStr">
        <is>
          <t>(예) 정제수 + 가용화제 + 네롤리·일랑일랑 EO + 보존 성분</t>
        </is>
      </c>
      <c r="E7" s="34" t="inlineStr">
        <is>
          <t>네롤리워터 · 네롤리에센셜오일 · 일랑일랑에센셜오일 · 폴리소르베이트20</t>
        </is>
      </c>
      <c r="F7" s="34" t="inlineStr">
        <is>
          <t>네롤리워터 95 + (네롤리·일랑 EO 0.2 : 가용화제 0.8) + 방부</t>
        </is>
      </c>
      <c r="G7" s="34" t="inlineStr">
        <is>
          <t>EO 함량, 가용화제, 알레르기 성분(리날룰 등)</t>
        </is>
      </c>
      <c r="H7" s="34" t="inlineStr">
        <is>
          <t>—</t>
        </is>
      </c>
      <c r="I7" s="39" t="n"/>
    </row>
    <row r="8" ht="62" customHeight="1">
      <c r="A8" s="87" t="inlineStr">
        <is>
          <t>어린 콜라겐겔</t>
        </is>
      </c>
      <c r="B8" s="34" t="n">
        <v>8</v>
      </c>
      <c r="C8" s="34" t="inlineStr">
        <is>
          <t>저분자 마린 콜라겐, 나이아신아마이드, 로즈워터 배합 젤. 수분 탄력 및 미백 케어.</t>
        </is>
      </c>
      <c r="D8" s="34" t="inlineStr">
        <is>
          <t>(예) 저분자 마린콜라겐 + 나이아신아마이드 + 로즈워터 + 점증제</t>
        </is>
      </c>
      <c r="E8" s="34" t="inlineStr">
        <is>
          <t>가수분해콜라겐(마린·식물 콜라겐) · 나이아신아마이드 · 로즈워터(하이드로졸) · 카보머</t>
        </is>
      </c>
      <c r="F8" s="34" t="inlineStr">
        <is>
          <t>로즈워터 base + 가수분해콜라겐 3 + 나이아신아마이드 2~5 + 카보머 0.3</t>
        </is>
      </c>
      <c r="G8" s="34" t="inlineStr">
        <is>
          <t>나이아신아마이드 함량(2%↑면 미백 기능성 원료 함량), 콜라겐 분자량·유래</t>
        </is>
      </c>
      <c r="H8" s="34" t="inlineStr">
        <is>
          <t>미백 표방은 기능성 보고 제품만 → OEM 영역</t>
        </is>
      </c>
      <c r="I8" s="39" t="n"/>
    </row>
    <row r="9" ht="62" customHeight="1">
      <c r="A9" s="87" t="inlineStr">
        <is>
          <t>알로에모이스트</t>
        </is>
      </c>
      <c r="B9" s="34" t="n">
        <v>8</v>
      </c>
      <c r="C9" s="34" t="inlineStr">
        <is>
          <t>알로에베라 기반 농축 습윤 성분. 피부 수분 충전, 열감 완화 및 점도 형성.</t>
        </is>
      </c>
      <c r="D9" s="34" t="inlineStr">
        <is>
          <t>(예) 알로에베라잎즙/추출물 + 보습제(글리세린·BG) + 점증제</t>
        </is>
      </c>
      <c r="E9" s="34" t="inlineStr">
        <is>
          <t>알로에베라겔 · 글리세린 · 잔탄검</t>
        </is>
      </c>
      <c r="F9" s="34" t="inlineStr">
        <is>
          <t>알로에베라겔 + 글리세린 3 + 잔탄 0.2</t>
        </is>
      </c>
      <c r="G9" s="34" t="inlineStr">
        <is>
          <t>알로에 실함량(%), 원물/분말 환원 여부</t>
        </is>
      </c>
      <c r="H9" s="34" t="inlineStr">
        <is>
          <t>'열감 완화'는 무난, '화상 치료'는 금지</t>
        </is>
      </c>
      <c r="I9" s="39" t="n"/>
    </row>
    <row r="10" ht="62" customHeight="1">
      <c r="A10" s="87" t="inlineStr">
        <is>
          <t>라벤더오일</t>
        </is>
      </c>
      <c r="B10" s="34" t="n">
        <v>9</v>
      </c>
      <c r="C10" s="34" t="inlineStr">
        <is>
          <t>라벤더 추출 유상 보습 성분. 자극 완화, 피부 진정 및 편안한 아로마 효과 제공.</t>
        </is>
      </c>
      <c r="D10" s="34" t="inlineStr">
        <is>
          <t>정체 확인 필요 — EO가 아니라 '유상 보습' 설명 → 라벤더 인퓨즈오일(베이스 오일+라벤더) 추정</t>
        </is>
      </c>
      <c r="E10" s="34" t="inlineStr">
        <is>
          <t>라벤더에센셜오일 · 카렌듈라 인퓨즈드오일 · 호호바오일</t>
        </is>
      </c>
      <c r="F10" s="34" t="inlineStr">
        <is>
          <t>호호바오일 99.5 + 라벤더 EO 0.5 (향) / 또는 라벤더 꽃 인퓨즈</t>
        </is>
      </c>
      <c r="G10" s="34" t="inlineStr">
        <is>
          <t>★ EO인지 인퓨즈오일인지(사용 %가 완전히 다름), 베이스 오일 종류</t>
        </is>
      </c>
      <c r="H10" s="34" t="inlineStr">
        <is>
          <t>—</t>
        </is>
      </c>
      <c r="I10" s="39" t="n"/>
    </row>
    <row r="11" ht="62" customHeight="1">
      <c r="A11" s="87" t="inlineStr">
        <is>
          <t>올리브에스터오일</t>
        </is>
      </c>
      <c r="B11" s="34" t="n">
        <v>5</v>
      </c>
      <c r="C11" s="34" t="inlineStr">
        <is>
          <t>올리브 오일 유래 실리콘 대용 에스테르 오일. 실리콘처럼 가벼우면서도 긴 보습 유지력을 제공.</t>
        </is>
      </c>
      <c r="D11" s="34" t="inlineStr">
        <is>
          <t>(예) 올리브 지방산 에스터(Ethylhexyl Olivate / Decyl Olivate 등)</t>
        </is>
      </c>
      <c r="E11" s="34" t="inlineStr">
        <is>
          <t>코코-카프릴레이트/카프레이트 · 디카프릴릴카보네이트 · 세틸에틸헥사노에이트</t>
        </is>
      </c>
      <c r="F11" s="34" t="inlineStr">
        <is>
          <t>코코-카프릴레이트 or 세틸에틸헥사노에이트로 대체 비교</t>
        </is>
      </c>
      <c r="G11" s="34" t="inlineStr">
        <is>
          <t>INCI(에스터 종류), 점도·퍼짐 수치</t>
        </is>
      </c>
      <c r="H11" s="34" t="inlineStr">
        <is>
          <t>'실리콘 대체'는 감촉 표현일 뿐 — '실리콘 프리' 표기는 전성분 확인 후</t>
        </is>
      </c>
      <c r="I11" s="39" t="n"/>
    </row>
    <row r="12" ht="62" customHeight="1">
      <c r="A12" s="87" t="inlineStr">
        <is>
          <t>올리브상온유화제</t>
        </is>
      </c>
      <c r="B12" s="34" t="n">
        <v>9</v>
      </c>
      <c r="C12" s="34" t="inlineStr">
        <is>
          <t>가열 과정 없이 상온에서 물과 오일을 믹싱하여 에멀전을 형성하는 비이온성 유화제. 열에 약한 유효성분 보호에 적합함.</t>
        </is>
      </c>
      <c r="D12" s="34" t="inlineStr">
        <is>
          <t>(예) 올리브유 유래 에스터 유화제(Olive Oil PEG-7 Esters 또는 폴리글리세릴 에스터 계열)</t>
        </is>
      </c>
      <c r="E12" s="34" t="inlineStr">
        <is>
          <t>세피노브 EMT10 · 폴리글리세릴-4 카프레이트 · 올리브유화왁스(올리벰1000)</t>
        </is>
      </c>
      <c r="F12" s="34" t="inlineStr">
        <is>
          <t>냉간 젤크림이 목적이면 세피노브 EMT10 1% + 오일 10</t>
        </is>
      </c>
      <c r="G12" s="34" t="inlineStr">
        <is>
          <t>INCI, PEG 포함 여부(천연 포지션), 오일 최대 몇 %까지 잡는지</t>
        </is>
      </c>
      <c r="H12" s="34" t="inlineStr">
        <is>
          <t>'무가열'은 공정 표현 — 효능 아님</t>
        </is>
      </c>
      <c r="I12" s="39" t="n"/>
    </row>
    <row r="13" ht="62" customHeight="1">
      <c r="A13" s="87" t="inlineStr">
        <is>
          <t>올리브 소프트왁스</t>
        </is>
      </c>
      <c r="B13" s="34" t="n">
        <v>3</v>
      </c>
      <c r="C13" s="34" t="inlineStr">
        <is>
          <t>올리브 오일 유래 유화 보조 및 경화제. 끈적임 없는 가벼운 밤(Balm) 및 질감의 크림을 완성함.</t>
        </is>
      </c>
      <c r="D13" s="34" t="inlineStr">
        <is>
          <t>(예) 올리브 유래 왁스 에스터(수소첨가 올리브오일 계열)</t>
        </is>
      </c>
      <c r="E13" s="34" t="inlineStr">
        <is>
          <t>시어버터 · 코코아버터 · 세틸알코올 · 칸데릴라왁스</t>
        </is>
      </c>
      <c r="F13" s="34" t="inlineStr">
        <is>
          <t>밤: 시어 15 + 세틸알코올 3 (덜 끈적·부드러운 경도)</t>
        </is>
      </c>
      <c r="G13" s="34" t="inlineStr">
        <is>
          <t>INCI, 녹는점(℃), 단독 경화력</t>
        </is>
      </c>
      <c r="H13" s="34" t="inlineStr">
        <is>
          <t>—</t>
        </is>
      </c>
      <c r="I13" s="39" t="n"/>
    </row>
    <row r="14" ht="62" customHeight="1">
      <c r="A14" s="87" t="inlineStr">
        <is>
          <t>멀티밤왁스</t>
        </is>
      </c>
      <c r="B14" s="34" t="n">
        <v>8</v>
      </c>
      <c r="C14" s="34" t="inlineStr">
        <is>
          <t>밀랍과 칸데릴라왁스를 최적 비율로 혼합하여 부드러운 발림성과 스틱 제형의 형태 유지력을 동시에 제공하는 왁스 베이스.</t>
        </is>
      </c>
      <c r="D14" s="34" t="inlineStr">
        <is>
          <t>밀랍 + 칸데릴라왁스 혼합(판매처 설명)</t>
        </is>
      </c>
      <c r="E14" s="34" t="inlineStr">
        <is>
          <t>밀랍(비즈왁스) · 칸데릴라왁스</t>
        </is>
      </c>
      <c r="F14" s="34" t="inlineStr">
        <is>
          <t>밀랍 : 칸데릴라 = 2:1부터 → 경도 보고 조정</t>
        </is>
      </c>
      <c r="G14" s="34" t="inlineStr">
        <is>
          <t>혼합 비율, 녹는점</t>
        </is>
      </c>
      <c r="H14" s="34" t="inlineStr">
        <is>
          <t>비건 표기 불가(밀랍 포함)</t>
        </is>
      </c>
      <c r="I14" s="39" t="n"/>
    </row>
    <row r="15" ht="62" customHeight="1">
      <c r="A15" s="87" t="inlineStr">
        <is>
          <t>화이트펩타이드</t>
        </is>
      </c>
      <c r="B15" s="34" t="n">
        <v>12</v>
      </c>
      <c r="C15" s="34" t="inlineStr">
        <is>
          <t>비타민 유도체 결합 펩타이드. 멜라닌 생성 억제 및 피부 톤업·미백 시너지.</t>
        </is>
      </c>
      <c r="D15" s="34" t="inlineStr">
        <is>
          <t>(예) 비타민 유도체 + 펩타이드(노나펩타이드-1 등) + 용매</t>
        </is>
      </c>
      <c r="E15" s="34" t="inlineStr">
        <is>
          <t>나이아신아마이드 · 아스코빌글루코사이드 · 매트릭실 3000 (팔미토일 펩타이드)</t>
        </is>
      </c>
      <c r="F15" s="34" t="inlineStr">
        <is>
          <t>톤 케어 목적이면 고시 성분 단일(나이아신아마이드 2~5)이 명확</t>
        </is>
      </c>
      <c r="G15" s="34" t="inlineStr">
        <is>
          <t>펩타이드 INCI·ppm, 비타민 유도체 종류·함량</t>
        </is>
      </c>
      <c r="H15" s="88" t="inlineStr">
        <is>
          <t>★ '멜라닌 억제·미백'은 기능성 보고 제품만</t>
        </is>
      </c>
      <c r="I15" s="39" t="n"/>
    </row>
    <row r="16" ht="62" customHeight="1">
      <c r="A16" s="87" t="inlineStr">
        <is>
          <t>아카시아콜라겐</t>
        </is>
      </c>
      <c r="B16" s="34" t="n">
        <v>11</v>
      </c>
      <c r="C16" s="34" t="inlineStr">
        <is>
          <t>아카시아나무 유래 식물성 콜라겐. 수분 보유력 향상 및 매끈한 수분 탄력막 형성.</t>
        </is>
      </c>
      <c r="D16" s="34" t="inlineStr">
        <is>
          <t>(예) 아카시아(세네갈)검 + 글리세린 등 — 실제 콜라겐(단백질) 아님</t>
        </is>
      </c>
      <c r="E16" s="34" t="inlineStr">
        <is>
          <t>가수분해콜라겐(마린·식물 콜라겐) · 폴리글루타믹애씨드(PGA) · 잔탄검</t>
        </is>
      </c>
      <c r="F16" s="34" t="inlineStr">
        <is>
          <t>PGA 0.5 + 잔탄 0.1 → 매끈한 수분막 감촉 재현</t>
        </is>
      </c>
      <c r="G16" s="34" t="inlineStr">
        <is>
          <t>INCI(검 종류), '콜라겐'이 들어간 이유(감촉 이름)</t>
        </is>
      </c>
      <c r="H16" s="88" t="inlineStr">
        <is>
          <t>★ '식물성 콜라겐' = 오인 표현 위험 → 성분명대로</t>
        </is>
      </c>
      <c r="I16" s="39" t="n"/>
    </row>
    <row r="17" ht="62" customHeight="1">
      <c r="A17" s="87" t="inlineStr">
        <is>
          <t>비타민열매3</t>
        </is>
      </c>
      <c r="B17" s="34" t="n">
        <v>11</v>
      </c>
      <c r="C17" s="34" t="inlineStr">
        <is>
          <t>비타민나무 열매, 유자, 오미자 복합 추출물. 풍부한 비타민 C로 맑고 투명한 피부 톤 유도.</t>
        </is>
      </c>
      <c r="D17" s="34" t="inlineStr">
        <is>
          <t>(예) 비타민나무·유자·오미자 열매 추출물 + BG</t>
        </is>
      </c>
      <c r="E17" s="34" t="inlineStr">
        <is>
          <t>비타민 나무 워터 · 씨벅턴오일(CO₂) · 아스코빌글루코사이드</t>
        </is>
      </c>
      <c r="F17" s="34" t="inlineStr">
        <is>
          <t>비타민C 효과가 목적이면 아스코빌글루코사이드 2 (안정 유도체)</t>
        </is>
      </c>
      <c r="G17" s="34" t="inlineStr">
        <is>
          <t>추출물 각 함량, 실제 비타민C 함량(대부분 미미)</t>
        </is>
      </c>
      <c r="H17" s="34" t="inlineStr">
        <is>
          <t>'비타민C 풍부' 문구는 함량 근거 필요</t>
        </is>
      </c>
      <c r="I17" s="39" t="n"/>
    </row>
    <row r="18" ht="62" customHeight="1">
      <c r="A18" s="87" t="inlineStr">
        <is>
          <t>4GF</t>
        </is>
      </c>
      <c r="B18" s="34" t="n">
        <v>10</v>
      </c>
      <c r="C18" s="34" t="inlineStr">
        <is>
          <t>EGF, FGF, IGF, TGF 4가지 성장인자 복합체. 표피부터 진피까지 전방위 피부 재생.</t>
        </is>
      </c>
      <c r="D18" s="34" t="inlineStr">
        <is>
          <t>(예) sh-Oligopeptide-1(EGF) + sh-Polypeptide-1(FGF) + sh-Oligopeptide-2(IGF) + TGF 계열 + 용매</t>
        </is>
      </c>
      <c r="E18" s="34" t="inlineStr">
        <is>
          <t>EGF (sh-올리고펩타이드-1) · FGF(섬유아세포 성장인자)</t>
        </is>
      </c>
      <c r="F18" s="34" t="inlineStr">
        <is>
          <t>단일 EGF 원액으로 시작 → 비용·체감 비교</t>
        </is>
      </c>
      <c r="G18" s="34" t="inlineStr">
        <is>
          <t>각 성장인자 ppm, 냉장 유통 여부, 원료 출처(재조합 숙주)</t>
        </is>
      </c>
      <c r="H18" s="88" t="inlineStr">
        <is>
          <t>★ '재생·진피·전방위 회복' = 의약품 오인 → 금지</t>
        </is>
      </c>
      <c r="I18" s="39" t="n"/>
    </row>
    <row r="19" ht="62" customHeight="1">
      <c r="A19" s="87" t="inlineStr">
        <is>
          <t>슈퍼 곡물 단백질추출물</t>
        </is>
      </c>
      <c r="B19" s="34" t="n">
        <v>9</v>
      </c>
      <c r="C19" s="34" t="inlineStr">
        <is>
          <t>슈퍼푸드 곡물 유래 단백질. 푸석한 모발 및 피부에 영양 공급, 모발 밀도 강화.</t>
        </is>
      </c>
      <c r="D19" s="34" t="inlineStr">
        <is>
          <t>(예) 가수분해 곡물 단백질(퀴노아·귀리·밀 등)</t>
        </is>
      </c>
      <c r="E19" s="34" t="inlineStr">
        <is>
          <t>실크아미노산 · 가수분해콜라겐(마린·식물 콜라겐) · 실크엘라스틴</t>
        </is>
      </c>
      <c r="F19" s="34" t="inlineStr">
        <is>
          <t>헤어: 실크아미노산 2 or 실크엘라스틴 2</t>
        </is>
      </c>
      <c r="G19" s="34" t="inlineStr">
        <is>
          <t>곡물 종류(★밀 = 글루텐 알레르기), 분자량</t>
        </is>
      </c>
      <c r="H19" s="88" t="inlineStr">
        <is>
          <t>★ '모발 밀도 강화'는 탈모 기능성 오인 → 금지</t>
        </is>
      </c>
      <c r="I19" s="39" t="n"/>
    </row>
    <row r="20" ht="62" customHeight="1">
      <c r="A20" s="87" t="inlineStr">
        <is>
          <t>화이텐스</t>
        </is>
      </c>
      <c r="B20" s="34" t="n">
        <v>8</v>
      </c>
      <c r="C20" s="34" t="inlineStr">
        <is>
          <t>미백 효능 한방 약재 복합 추출물. 멜라닌 합성을 차단하여 맑은 피부 톤 유도.</t>
        </is>
      </c>
      <c r="D20" s="34" t="inlineStr">
        <is>
          <t>(예) 미백 관련 한방 약재 복합 추출물(상백피·감초·닥나무 등)</t>
        </is>
      </c>
      <c r="E20" s="34" t="inlineStr">
        <is>
          <t>상백피추출물 · 유용성감초추출물 · 닥나무추출물</t>
        </is>
      </c>
      <c r="F20" s="34" t="inlineStr">
        <is>
          <t>고시 성분 단일(유용성감초 0.05 / 닥나무 2)로 기능성 근거 확보</t>
        </is>
      </c>
      <c r="G20" s="34" t="inlineStr">
        <is>
          <t>약재 구성·함량, 고시 미백 성분 함유 여부</t>
        </is>
      </c>
      <c r="H20" s="88" t="inlineStr">
        <is>
          <t>★ '멜라닌 차단·미백'은 기능성 보고 제품만</t>
        </is>
      </c>
      <c r="I20" s="39" t="n"/>
    </row>
    <row r="21" ht="62" customHeight="1">
      <c r="A21" s="87" t="inlineStr">
        <is>
          <t>식물성 플라센타</t>
        </is>
      </c>
      <c r="B21" s="34" t="n">
        <v>7</v>
      </c>
      <c r="C21" s="34" t="inlineStr">
        <is>
          <t>식물 씨눈 유래 플라센타(태반) 추출물. 안전한 항산화, 탄력 강화 및 활력 케어.</t>
        </is>
      </c>
      <c r="D21" s="34" t="inlineStr">
        <is>
          <t>(예) 식물 씨눈(배아) 추출물 — 동물 태반 아님</t>
        </is>
      </c>
      <c r="E21" s="34" t="inlineStr">
        <is>
          <t>인삼추출물 · 베타글루칸 · 콜로이달오트밀</t>
        </is>
      </c>
      <c r="F21" s="34" t="inlineStr">
        <is>
          <t>—(스토리 원료) 보습·항산화는 단일 원료로 대체</t>
        </is>
      </c>
      <c r="G21" s="34" t="inlineStr">
        <is>
          <t>식물 종류(INCI), 함량</t>
        </is>
      </c>
      <c r="H21" s="88" t="inlineStr">
        <is>
          <t>★ '플라센타·태반' 표현 = 오인 위험 → 성분명대로</t>
        </is>
      </c>
      <c r="I21" s="39" t="n"/>
    </row>
    <row r="22" ht="62" customHeight="1">
      <c r="A22" s="87" t="inlineStr">
        <is>
          <t>AC클리어펩타이드</t>
        </is>
      </c>
      <c r="B22" s="34" t="n">
        <v>6</v>
      </c>
      <c r="C22" s="34" t="inlineStr">
        <is>
          <t>4가지 트러블 특화 펩타이드(1,000ppm) 복합체. 피지 케어, 상처 복구 및 진정.</t>
        </is>
      </c>
      <c r="D22" s="34" t="inlineStr">
        <is>
          <t>(예) 트러블 지향 펩타이드 4종(1,000ppm) + 용매</t>
        </is>
      </c>
      <c r="E22" s="34" t="inlineStr">
        <is>
          <t>씨네이크(디펩타이드) · 아세틸헥사펩타이드-8(아지렐린) · 살리실산(BHA)</t>
        </is>
      </c>
      <c r="F22" s="34" t="inlineStr">
        <is>
          <t>트러블 케어는 살리실산(씻어내는 제품, 고시)이 근거 명확</t>
        </is>
      </c>
      <c r="G22" s="34" t="inlineStr">
        <is>
          <t>펩타이드 INCI·ppm</t>
        </is>
      </c>
      <c r="H22" s="88" t="inlineStr">
        <is>
          <t>★ '여드름·상처 복구' 금지. '여드름성 피부 완화'는 기능성(씻어내는 제품)</t>
        </is>
      </c>
      <c r="I22" s="39" t="n"/>
    </row>
    <row r="23" ht="62" customHeight="1">
      <c r="A23" s="87" t="inlineStr">
        <is>
          <t>EM활성액</t>
        </is>
      </c>
      <c r="B23" s="34" t="n">
        <v>5</v>
      </c>
      <c r="C23" s="34" t="inlineStr">
        <is>
          <t>유용 미생물 발효액. 두피 가려움·비듬 유발 세균 억제 및 유익균 환경 조성.</t>
        </is>
      </c>
      <c r="D23" s="34" t="inlineStr">
        <is>
          <t>(예) 유용 미생물(유산균·효모·광합성균) 발효액</t>
        </is>
      </c>
      <c r="E23" s="34" t="inlineStr">
        <is>
          <t>락토바실러스 발효용해물(프로바이오틱스) · 사카로미세스 발효여과물</t>
        </is>
      </c>
      <c r="F23" s="34" t="inlineStr">
        <is>
          <t>두피 토닉: 사카로미세스 발효여과물 10 + 멘톨 0.1</t>
        </is>
      </c>
      <c r="G23" s="34" t="inlineStr">
        <is>
          <t>균주·INCI, 살아있는 균인지(제품 미생물 기준과 충돌)</t>
        </is>
      </c>
      <c r="H23" s="88" t="inlineStr">
        <is>
          <t>★ '세균 억제·비듬균' = 살균 표방 금지. '비듬 완화'는 기능성</t>
        </is>
      </c>
      <c r="I23" s="39" t="n"/>
    </row>
    <row r="24" ht="62" customHeight="1">
      <c r="A24" s="87" t="inlineStr">
        <is>
          <t>녹소초 추출물</t>
        </is>
      </c>
      <c r="B24" s="34" t="n">
        <v>5</v>
      </c>
      <c r="C24" s="34" t="inlineStr">
        <is>
          <t>어성초, 녹차, 자소엽을 2:1:1 황금 비율로 배합한 고농축 두피·트러블 전용 추출물.</t>
        </is>
      </c>
      <c r="D24" s="34" t="inlineStr">
        <is>
          <t>어성초 : 녹차 : 자소엽 = 2:1:1 복합 추출물(판매처 설명)</t>
        </is>
      </c>
      <c r="E24" s="34" t="inlineStr">
        <is>
          <t>어성초추출물 · 녹차추출물</t>
        </is>
      </c>
      <c r="F24" s="34" t="inlineStr">
        <is>
          <t>어성초 6 + 녹차 3 (+ 자소엽 3, 구매 시)</t>
        </is>
      </c>
      <c r="G24" s="34" t="inlineStr">
        <is>
          <t>각 추출물 용매(BG/물), 실함량</t>
        </is>
      </c>
      <c r="H24" s="34" t="inlineStr">
        <is>
          <t>'트러블 전용'은 무난, '여드름 치료' 금지</t>
        </is>
      </c>
      <c r="I24" s="39" t="n"/>
    </row>
    <row r="25" ht="62" customHeight="1">
      <c r="A25" s="87" t="inlineStr">
        <is>
          <t>오가닉7</t>
        </is>
      </c>
      <c r="B25" s="34" t="n">
        <v>5</v>
      </c>
      <c r="C25" s="34" t="inlineStr">
        <is>
          <t>7가지 유기농 과일 및 야채 추출물. 저자극 항산화 및 영양 공급.</t>
        </is>
      </c>
      <c r="D25" s="34" t="inlineStr">
        <is>
          <t>(예) 유기농 과일·채소 7종 추출물</t>
        </is>
      </c>
      <c r="E25" s="34" t="inlineStr">
        <is>
          <t>녹차추출물 · 인삼추출물 · 토마토추출물</t>
        </is>
      </c>
      <c r="F25" s="34" t="inlineStr">
        <is>
          <t>—(스토리 원료)</t>
        </is>
      </c>
      <c r="G25" s="34" t="inlineStr">
        <is>
          <t>유기농 인증서(원료), 7종 구성</t>
        </is>
      </c>
      <c r="H25" s="88" t="inlineStr">
        <is>
          <t>★ 완제품 '유기농' 표시는 식약처 유기농화장품 기준(함량) 충족 시만</t>
        </is>
      </c>
      <c r="I25" s="39" t="n"/>
    </row>
    <row r="26" ht="62" customHeight="1">
      <c r="A26" s="87" t="inlineStr">
        <is>
          <t>비타11</t>
        </is>
      </c>
      <c r="B26" s="34" t="n">
        <v>5</v>
      </c>
      <c r="C26" s="34" t="inlineStr">
        <is>
          <t>11가지 필수 비타민 복합체. 피부 생기 부여, 피로 피부 회복 및 맑음 케어.</t>
        </is>
      </c>
      <c r="D26" s="34" t="inlineStr">
        <is>
          <t>(예) 수용성·유용성 비타민 11종 복합(판테놀·나이아신아마이드·토코페롤·비오틴·아스코빌 유도체 등)</t>
        </is>
      </c>
      <c r="E26" s="34" t="inlineStr">
        <is>
          <t>판테놀(B5) · 나이아신아마이드 · 토코페롤(비타민E) · 비오틴 · 아스코빌글루코사이드</t>
        </is>
      </c>
      <c r="F26" s="34" t="inlineStr">
        <is>
          <t>핵심 2~3개만 단일로: 판테놀 1 + 나이아신아마이드 2 + 토코페롤 0.5</t>
        </is>
      </c>
      <c r="G26" s="34" t="inlineStr">
        <is>
          <t>각 비타민 형태·함량(대부분 극소량), 유용성 비타민 가용화 방식</t>
        </is>
      </c>
      <c r="H26" s="34" t="inlineStr">
        <is>
          <t>'11가지 비타민' 개수보다 함량이 효능 결정</t>
        </is>
      </c>
      <c r="I26" s="39" t="n"/>
    </row>
    <row r="27" ht="62" customHeight="1">
      <c r="A27" s="87" t="inlineStr">
        <is>
          <t>윤모생기추출물</t>
        </is>
      </c>
      <c r="B27" s="34" t="n">
        <v>4</v>
      </c>
      <c r="C27" s="34" t="inlineStr">
        <is>
          <t>호호바, 아보카도, 한련초 등 16가지 전통 허브 추출물. 두피 영양 및 모근 강화.</t>
        </is>
      </c>
      <c r="D27" s="34" t="inlineStr">
        <is>
          <t>(예) 호호바·아보카도·한련초 등 16종 허브 복합 추출물</t>
        </is>
      </c>
      <c r="E27" s="34" t="inlineStr">
        <is>
          <t>호호바오일 · 아보카도오일 · 로즈마리워터 · 덱스판테놀</t>
        </is>
      </c>
      <c r="F27" s="34" t="inlineStr">
        <is>
          <t>두피 토닉: 로즈마리워터 base + 덱스판테놀 1 + 멘톨 0.1</t>
        </is>
      </c>
      <c r="G27" s="34" t="inlineStr">
        <is>
          <t>16종 구성·함량</t>
        </is>
      </c>
      <c r="H27" s="88" t="inlineStr">
        <is>
          <t>★ '모근 강화·탈모'는 기능성(탈모 증상 완화) 보고 제품만</t>
        </is>
      </c>
      <c r="I27" s="39" t="n"/>
    </row>
    <row r="28" ht="62" customHeight="1">
      <c r="A28" s="87" t="inlineStr">
        <is>
          <t>딸기플레이버오일</t>
        </is>
      </c>
      <c r="B28" s="34" t="n">
        <v>9</v>
      </c>
      <c r="C28" s="34" t="inlineStr">
        <is>
          <t>립밤 및 립케어 제품용 안심 딸기 향 플레이버 오일. 달콤한 과일 향 부여.</t>
        </is>
      </c>
      <c r="D28" s="34" t="inlineStr">
        <is>
          <t>(예) 합성/천연 향료 + 캐리어 오일 — 립용 플레이버</t>
        </is>
      </c>
      <c r="E28" s="34" t="inlineStr">
        <is>
          <t>피마자오일 · 호호바오일</t>
        </is>
      </c>
      <c r="F28" s="34" t="inlineStr">
        <is>
          <t>—(향료는 직접 대체 불가) 립밤에 0.5~1%</t>
        </is>
      </c>
      <c r="G28" s="34" t="inlineStr">
        <is>
          <t>립 사용 가능 등급(IFRA Cat.1), 알레르기 성분, 감미료 포함 여부</t>
        </is>
      </c>
      <c r="H28" s="34" t="inlineStr">
        <is>
          <t>전성분 '향료' 표기 + 알레르기 성분 별도 표기</t>
        </is>
      </c>
      <c r="I28" s="39" t="n"/>
    </row>
    <row r="29" ht="62" customHeight="1">
      <c r="A29" s="87" t="inlineStr">
        <is>
          <t>레몬쥬스에센셜오일</t>
        </is>
      </c>
      <c r="B29" s="34" t="n">
        <v>3</v>
      </c>
      <c r="C29" s="34" t="inlineStr">
        <is>
          <t>레몬, 레몬그라스, 로즈우드 에센셜 오일이 조화롭게 블렌딩된 상큼 달콤한 향.</t>
        </is>
      </c>
      <c r="D29" s="34" t="inlineStr">
        <is>
          <t>레몬 + 레몬그라스 + 로즈우드 EO 블렌드(판매처 설명)</t>
        </is>
      </c>
      <c r="E29" s="34" t="inlineStr">
        <is>
          <t>레몬에센셜오일 · 로즈우드에센셜오일</t>
        </is>
      </c>
      <c r="F29" s="34" t="inlineStr">
        <is>
          <t>레몬 2 : 로즈우드 1 (레몬그라스 구매 시 추가)</t>
        </is>
      </c>
      <c r="G29" s="34" t="inlineStr">
        <is>
          <t>블렌드 비율, 레몬 광독성(퓨로쿠마린) 농도, 시트랄 함량</t>
        </is>
      </c>
      <c r="H29" s="88" t="inlineStr">
        <is>
          <t>★ 레몬 광독성 → 씻어내지 않는 제품은 저농도</t>
        </is>
      </c>
      <c r="I29" s="39" t="n"/>
    </row>
    <row r="30" ht="62" customHeight="1">
      <c r="A30" s="87" t="inlineStr">
        <is>
          <t>브라이트닝 에센셜오일</t>
        </is>
      </c>
      <c r="B30" s="34" t="n">
        <v>3</v>
      </c>
      <c r="C30" s="34" t="inlineStr">
        <is>
          <t>네롤리, 일랑일랑, 버가못FCF · 프랑킨센스 EO 블렌딩오일</t>
        </is>
      </c>
      <c r="D30" s="34" t="inlineStr">
        <is>
          <t>네롤리 + 일랑일랑 + 버가못FCF + 프랑킨센스 EO 블렌드(판매처 설명)</t>
        </is>
      </c>
      <c r="E30" s="34" t="inlineStr">
        <is>
          <t>네롤리에센셜오일 · 일랑일랑에센셜오일 · 버가못FCF 에센셜오일 · 프랑킨센스에센셜오일</t>
        </is>
      </c>
      <c r="F30" s="34" t="inlineStr">
        <is>
          <t>버가못FCF 3 : 네롤리 1 : 일랑 1 : 프랑킨센스 2부터 시향 조정</t>
        </is>
      </c>
      <c r="G30" s="34" t="inlineStr">
        <is>
          <t>블렌드 비율, 알레르기 성분</t>
        </is>
      </c>
      <c r="H30" s="88" t="inlineStr">
        <is>
          <t>★ '브라이트닝' 이름이 미백 오인 → 제품 광고엔 쓰지 말 것</t>
        </is>
      </c>
      <c r="I30" s="39" t="n"/>
    </row>
  </sheetData>
  <autoFilter ref="A4:I30"/>
  <mergeCells count="2">
    <mergeCell ref="A1:I1"/>
    <mergeCell ref="A2:I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36" customWidth="1" min="3" max="3"/>
    <col width="8" customWidth="1" min="4" max="4"/>
    <col width="16" customWidth="1" min="5" max="5"/>
    <col width="60" customWidth="1" min="6" max="6"/>
    <col width="10" customWidth="1" min="7" max="7"/>
  </cols>
  <sheetData>
    <row r="1" ht="26" customHeight="1">
      <c r="A1" s="1" t="inlineStr">
        <is>
          <t>다음 공부 대기열 — 원료 도감에서 아직 카드가 없는 원료</t>
        </is>
      </c>
    </row>
    <row r="2" ht="48" customHeight="1">
      <c r="A2" s="2" t="inlineStr">
        <is>
          <t>제품개발_마스터 '원료 도감'에서 자동 추출: 기능성 전체 + 허브누리 등장 2회↑ 단일 원료. 블렌드·상품명 원료는 '블렌드 해부' 시트로, 완제 베이스·방향제는 제외. 이름 표기 차이로 이미 카드가 있는 원료가 섞일 수 있음 — '후보' 목록. 관심 원료는 스크립트 카드 파일에 한 줄 추가 → 재생성. 상태 칸은 자유 입력(재생성해도 보존).</t>
        </is>
      </c>
    </row>
    <row r="4">
      <c r="A4" s="7" t="inlineStr">
        <is>
          <t>구분</t>
        </is>
      </c>
      <c r="B4" s="7" t="inlineStr">
        <is>
          <t>역할</t>
        </is>
      </c>
      <c r="C4" s="7" t="inlineStr">
        <is>
          <t>원료(도감)</t>
        </is>
      </c>
      <c r="D4" s="7" t="inlineStr">
        <is>
          <t>등장수</t>
        </is>
      </c>
      <c r="E4" s="7" t="inlineStr">
        <is>
          <t>전형/사용%</t>
        </is>
      </c>
      <c r="F4" s="7" t="inlineStr">
        <is>
          <t>기능·특징(도감)</t>
        </is>
      </c>
      <c r="G4" s="7" t="inlineStr">
        <is>
          <t>상태</t>
        </is>
      </c>
    </row>
    <row r="5">
      <c r="A5" s="34" t="inlineStr">
        <is>
          <t>허브누리</t>
        </is>
      </c>
      <c r="B5" s="34" t="inlineStr">
        <is>
          <t>수상</t>
        </is>
      </c>
      <c r="C5" s="34" t="inlineStr">
        <is>
          <t>식물성 에탄올 70%</t>
        </is>
      </c>
      <c r="D5" s="34" t="n">
        <v>2</v>
      </c>
      <c r="E5" s="34" t="inlineStr">
        <is>
          <t>89 ~ 94 ~ 99%</t>
        </is>
      </c>
      <c r="F5" s="34" t="inlineStr">
        <is>
          <t>곡물 발효 유래 에탄올 70%. 가용화 보조, 살균 소독 및 제형 청량감 부여.</t>
        </is>
      </c>
      <c r="G5" s="89" t="n"/>
    </row>
    <row r="6">
      <c r="A6" s="34" t="inlineStr">
        <is>
          <t>허브누리</t>
        </is>
      </c>
      <c r="B6" s="34" t="inlineStr">
        <is>
          <t>수상</t>
        </is>
      </c>
      <c r="C6" s="34" t="inlineStr">
        <is>
          <t>자작나무수액</t>
        </is>
      </c>
      <c r="D6" s="34" t="n">
        <v>2</v>
      </c>
      <c r="E6" s="34" t="inlineStr">
        <is>
          <t>24 ~ 25 ~ 26%</t>
        </is>
      </c>
      <c r="F6" s="34" t="inlineStr">
        <is>
          <t>자작나무 유래 천연 미네랄 수액. 피부 보습인자와 유사하여 우수한 피부 침투 및 보습.</t>
        </is>
      </c>
      <c r="G6" s="89" t="n"/>
    </row>
    <row r="7">
      <c r="A7" s="34" t="inlineStr">
        <is>
          <t>허브누리</t>
        </is>
      </c>
      <c r="B7" s="34" t="inlineStr">
        <is>
          <t>유상</t>
        </is>
      </c>
      <c r="C7" s="34" t="inlineStr">
        <is>
          <t>참깨오일</t>
        </is>
      </c>
      <c r="D7" s="34" t="n">
        <v>2</v>
      </c>
      <c r="E7" s="34" t="inlineStr">
        <is>
          <t>16 ~ 18 ~ 21%</t>
        </is>
      </c>
      <c r="F7" s="34" t="inlineStr">
        <is>
          <t>생참깨 압착 오일. 자연 항산화 성분(세사몰)과 올레산이 풍부하여 피부 영양 및 진정.</t>
        </is>
      </c>
      <c r="G7" s="89" t="n"/>
    </row>
    <row r="8">
      <c r="A8" s="34" t="inlineStr">
        <is>
          <t>허브누리</t>
        </is>
      </c>
      <c r="B8" s="34" t="inlineStr">
        <is>
          <t>유상</t>
        </is>
      </c>
      <c r="C8" s="34" t="inlineStr">
        <is>
          <t>푸에라리아오일</t>
        </is>
      </c>
      <c r="D8" s="34" t="n">
        <v>2</v>
      </c>
      <c r="E8" s="34" t="inlineStr">
        <is>
          <t>11 ~ 11 ~ 11%</t>
        </is>
      </c>
      <c r="F8" s="34" t="inlineStr">
        <is>
          <t>푸에라리아 뿌리 성분을 우려낸 인퓨즈드 오일. 피부 탄력 케어 지원.</t>
        </is>
      </c>
      <c r="G8" s="89" t="n"/>
    </row>
    <row r="9">
      <c r="A9" s="34" t="inlineStr">
        <is>
          <t>허브누리</t>
        </is>
      </c>
      <c r="B9" s="34" t="inlineStr">
        <is>
          <t>유상</t>
        </is>
      </c>
      <c r="C9" s="34" t="inlineStr">
        <is>
          <t>모링가오일</t>
        </is>
      </c>
      <c r="D9" s="34" t="n">
        <v>2</v>
      </c>
      <c r="E9" s="34" t="inlineStr">
        <is>
          <t>10 ~ 10 ~ 10%</t>
        </is>
      </c>
      <c r="F9" s="34" t="inlineStr">
        <is>
          <t>모링가 씨앗 압착 오일. 풍부한 아미노산과 비타민 성분으로 항산화, 피부 정화 및 장벽 보호.</t>
        </is>
      </c>
      <c r="G9" s="89" t="n"/>
    </row>
    <row r="10">
      <c r="A10" s="34" t="inlineStr">
        <is>
          <t>허브누리</t>
        </is>
      </c>
      <c r="B10" s="34" t="inlineStr">
        <is>
          <t>유상</t>
        </is>
      </c>
      <c r="C10" s="34" t="inlineStr">
        <is>
          <t>유기농 세티올 에스터오일</t>
        </is>
      </c>
      <c r="D10" s="34" t="n">
        <v>2</v>
      </c>
      <c r="E10" s="34" t="inlineStr">
        <is>
          <t>7 ~ 8 ~ 9%</t>
        </is>
      </c>
      <c r="F10" s="34" t="inlineStr">
        <is>
          <t>코코넛 유래 유기농 에스테르 오일. 가볍고 발림성이 뛰어나 제형의 답답함을 줄여줌.</t>
        </is>
      </c>
      <c r="G10" s="89" t="n"/>
    </row>
    <row r="11">
      <c r="A11" s="34" t="inlineStr">
        <is>
          <t>허브누리</t>
        </is>
      </c>
      <c r="B11" s="34" t="inlineStr">
        <is>
          <t>유상</t>
        </is>
      </c>
      <c r="C11" s="34" t="inlineStr">
        <is>
          <t>식물성 스쿠알렌</t>
        </is>
      </c>
      <c r="D11" s="34" t="n">
        <v>2</v>
      </c>
      <c r="E11" s="34" t="inlineStr">
        <is>
          <t>5 ~ 5 ~ 6%</t>
        </is>
      </c>
      <c r="F11" s="34" t="inlineStr">
        <is>
          <t>올리브 오일 유래 식물성 스쿠알렌. 피부 지질 친화성이 우수하여 친화적 보습 및 활력 부여.</t>
        </is>
      </c>
      <c r="G11" s="89" t="n"/>
    </row>
    <row r="12">
      <c r="A12" s="34" t="inlineStr">
        <is>
          <t>허브누리</t>
        </is>
      </c>
      <c r="B12" s="34" t="inlineStr">
        <is>
          <t>경화</t>
        </is>
      </c>
      <c r="C12" s="34" t="inlineStr">
        <is>
          <t>에코소이왁스</t>
        </is>
      </c>
      <c r="D12" s="34" t="n">
        <v>2</v>
      </c>
      <c r="E12" s="34" t="inlineStr">
        <is>
          <t>83 ~ 87 ~ 92%</t>
        </is>
      </c>
      <c r="F12" s="34" t="inlineStr">
        <is>
          <t>100% 콩기름 유래 천연 왁스. 융점이 낮아 마사지 캔들 및 바디 밤 제작에 사용됨.</t>
        </is>
      </c>
      <c r="G12" s="89" t="n"/>
    </row>
    <row r="13">
      <c r="A13" s="34" t="inlineStr">
        <is>
          <t>허브누리</t>
        </is>
      </c>
      <c r="B13" s="34" t="inlineStr">
        <is>
          <t>경화</t>
        </is>
      </c>
      <c r="C13" s="34" t="inlineStr">
        <is>
          <t>라놀린</t>
        </is>
      </c>
      <c r="D13" s="34" t="n">
        <v>2</v>
      </c>
      <c r="E13" s="34" t="n"/>
      <c r="F13" s="34" t="inlineStr">
        <is>
          <t>양모 유래 천연 지용성 왁스. 피부 지질 구조와 매우 유사하여 극건성 부위 수분 보호막 형성 및 입술 보호 효과 탁월.</t>
        </is>
      </c>
      <c r="G13" s="89" t="n"/>
    </row>
    <row r="14">
      <c r="A14" s="34" t="inlineStr">
        <is>
          <t>허브누리</t>
        </is>
      </c>
      <c r="B14" s="34" t="inlineStr">
        <is>
          <t>계면</t>
        </is>
      </c>
      <c r="C14" s="34" t="inlineStr">
        <is>
          <t>구아클로라이드</t>
        </is>
      </c>
      <c r="D14" s="34" t="n">
        <v>2</v>
      </c>
      <c r="E14" s="34" t="inlineStr">
        <is>
          <t>0 ~ 1 ~ 1%</t>
        </is>
      </c>
      <c r="F14" s="34" t="inlineStr">
        <is>
          <t>양이온성 점증 및 컨디셔닝제. 모발 정전기 방지 및 부드러운 유연 효과.</t>
        </is>
      </c>
      <c r="G14" s="89" t="n"/>
    </row>
    <row r="15">
      <c r="A15" s="34" t="inlineStr">
        <is>
          <t>허브누리</t>
        </is>
      </c>
      <c r="B15" s="34" t="inlineStr">
        <is>
          <t>활성</t>
        </is>
      </c>
      <c r="C15" s="34" t="inlineStr">
        <is>
          <t>클로렐라추출물</t>
        </is>
      </c>
      <c r="D15" s="34" t="n">
        <v>2</v>
      </c>
      <c r="E15" s="34" t="inlineStr">
        <is>
          <t>5 ~ 7 ~ 10%</t>
        </is>
      </c>
      <c r="F15" s="34" t="inlineStr">
        <is>
          <t>담수 단백질 해조류 클로렐라 추출물. 미네랄과 비타민 공급, 피부 활력.</t>
        </is>
      </c>
      <c r="G15" s="89" t="n"/>
    </row>
    <row r="16">
      <c r="A16" s="34" t="inlineStr">
        <is>
          <t>허브누리</t>
        </is>
      </c>
      <c r="B16" s="34" t="inlineStr">
        <is>
          <t>활성</t>
        </is>
      </c>
      <c r="C16" s="34" t="inlineStr">
        <is>
          <t>하수오추출물</t>
        </is>
      </c>
      <c r="D16" s="34" t="n">
        <v>2</v>
      </c>
      <c r="E16" s="34" t="inlineStr">
        <is>
          <t>12 ~ 12 ~ 12%</t>
        </is>
      </c>
      <c r="F16" s="34" t="inlineStr">
        <is>
          <t>적하수오 뿌리 추출물. 두피 영양 공급 및 모발 건강 유지.</t>
        </is>
      </c>
      <c r="G16" s="89" t="n"/>
    </row>
    <row r="17">
      <c r="A17" s="34" t="inlineStr">
        <is>
          <t>허브누리</t>
        </is>
      </c>
      <c r="B17" s="34" t="inlineStr">
        <is>
          <t>활성</t>
        </is>
      </c>
      <c r="C17" s="34" t="inlineStr">
        <is>
          <t>푸에라리아추출물</t>
        </is>
      </c>
      <c r="D17" s="34" t="n">
        <v>2</v>
      </c>
      <c r="E17" s="34" t="inlineStr">
        <is>
          <t>15 ~ 15 ~ 15%</t>
        </is>
      </c>
      <c r="F17" s="34" t="inlineStr">
        <is>
          <t>식물성 에스트로겐이 풍부한 푸에라리아 뿌리 추출물. 피부 탄력 강화 지원.</t>
        </is>
      </c>
      <c r="G17" s="89" t="n"/>
    </row>
    <row r="18">
      <c r="A18" s="34" t="inlineStr">
        <is>
          <t>허브누리</t>
        </is>
      </c>
      <c r="B18" s="34" t="inlineStr">
        <is>
          <t>활성</t>
        </is>
      </c>
      <c r="C18" s="34" t="inlineStr">
        <is>
          <t>비피다발효여과물</t>
        </is>
      </c>
      <c r="D18" s="34" t="n">
        <v>2</v>
      </c>
      <c r="E18" s="34" t="inlineStr">
        <is>
          <t>20 ~ 32 ~ 45%</t>
        </is>
      </c>
      <c r="F18" s="34" t="inlineStr">
        <is>
          <t>비피더스균 발효 용해물. 피부 장벽 강화, 면역력 유도 및 매끈한 결 케어.</t>
        </is>
      </c>
      <c r="G18" s="89" t="n"/>
    </row>
    <row r="19">
      <c r="A19" s="34" t="inlineStr">
        <is>
          <t>허브누리</t>
        </is>
      </c>
      <c r="B19" s="34" t="inlineStr">
        <is>
          <t>활성</t>
        </is>
      </c>
      <c r="C19" s="34" t="inlineStr">
        <is>
          <t>라벤더추출물</t>
        </is>
      </c>
      <c r="D19" s="34" t="n">
        <v>2</v>
      </c>
      <c r="E19" s="34" t="inlineStr">
        <is>
          <t>8 ~ 8 ~ 8%</t>
        </is>
      </c>
      <c r="F19" s="34" t="inlineStr">
        <is>
          <t>라벤더 꽃 수용성 추출물. 자극 완화 및 트러블 진정.</t>
        </is>
      </c>
      <c r="G19" s="89" t="n"/>
    </row>
    <row r="20">
      <c r="A20" s="34" t="inlineStr">
        <is>
          <t>허브누리</t>
        </is>
      </c>
      <c r="B20" s="34" t="inlineStr">
        <is>
          <t>활성</t>
        </is>
      </c>
      <c r="C20" s="34" t="inlineStr">
        <is>
          <t>진주가루</t>
        </is>
      </c>
      <c r="D20" s="34" t="n">
        <v>2</v>
      </c>
      <c r="E20" s="34" t="inlineStr">
        <is>
          <t>1 ~ 1 ~ 1%</t>
        </is>
      </c>
      <c r="F20" s="34" t="inlineStr">
        <is>
          <t>미네랄과 아미노산이 풍부한 진주 분말. 매끈한 피부 결 및 화사한 톤 연출.</t>
        </is>
      </c>
      <c r="G20" s="89" t="n"/>
    </row>
    <row r="21">
      <c r="A21" s="34" t="inlineStr">
        <is>
          <t>허브누리</t>
        </is>
      </c>
      <c r="B21" s="34" t="inlineStr">
        <is>
          <t>활성</t>
        </is>
      </c>
      <c r="C21" s="34" t="inlineStr">
        <is>
          <t>현미유</t>
        </is>
      </c>
      <c r="D21" s="34" t="n">
        <v>2</v>
      </c>
      <c r="E21" s="34" t="inlineStr">
        <is>
          <t>10 ~ 13 ~ 15%</t>
        </is>
      </c>
      <c r="F21" s="34" t="inlineStr">
        <is>
          <t>쌀겨 압착 오일. 감마오리자놀과 비타민 E가 풍부해 가볍고 순한 보습.</t>
        </is>
      </c>
      <c r="G21" s="89" t="n"/>
    </row>
    <row r="22">
      <c r="A22" s="34" t="inlineStr">
        <is>
          <t>허브누리</t>
        </is>
      </c>
      <c r="B22" s="34" t="inlineStr">
        <is>
          <t>활성</t>
        </is>
      </c>
      <c r="C22" s="34" t="inlineStr">
        <is>
          <t>PCG</t>
        </is>
      </c>
      <c r="D22" s="34" t="n">
        <v>2</v>
      </c>
      <c r="E22" s="34" t="inlineStr">
        <is>
          <t>21 ~ 21 ~ 21%</t>
        </is>
      </c>
      <c r="F22" s="34" t="inlineStr">
        <is>
          <t>글리신 유래 아미노산계 습윤제. 저자극 보습 및 피부 장벽 케어.</t>
        </is>
      </c>
      <c r="G22" s="89" t="n"/>
    </row>
    <row r="23">
      <c r="A23" s="34" t="inlineStr">
        <is>
          <t>허브누리</t>
        </is>
      </c>
      <c r="B23" s="34" t="inlineStr">
        <is>
          <t>활성</t>
        </is>
      </c>
      <c r="C23" s="34" t="inlineStr">
        <is>
          <t>진주분말</t>
        </is>
      </c>
      <c r="D23" s="34" t="n">
        <v>2</v>
      </c>
      <c r="E23" s="34" t="inlineStr">
        <is>
          <t>16 ~ 16 ~ 16%</t>
        </is>
      </c>
      <c r="F23" s="34" t="inlineStr">
        <is>
          <t>진주 펄 미네랄 파우더. 피부 톤 맑음 케어 및 투명한 결 개선.</t>
        </is>
      </c>
      <c r="G23" s="89" t="n"/>
    </row>
    <row r="24">
      <c r="A24" s="34" t="inlineStr">
        <is>
          <t>허브누리</t>
        </is>
      </c>
      <c r="B24" s="34" t="inlineStr">
        <is>
          <t>활성</t>
        </is>
      </c>
      <c r="C24" s="34" t="inlineStr">
        <is>
          <t>녹는 실 콜라겐</t>
        </is>
      </c>
      <c r="D24" s="34" t="n">
        <v>2</v>
      </c>
      <c r="E24" s="34" t="inlineStr">
        <is>
          <t>4 ~ 4 ~ 4%</t>
        </is>
      </c>
      <c r="F24" s="34" t="inlineStr">
        <is>
          <t>저분자 콜라겐과 히알루론산 실. 체온에 녹아 피부에 탄력 수분 침투.</t>
        </is>
      </c>
      <c r="G24" s="89" t="n"/>
    </row>
    <row r="25">
      <c r="A25" s="34" t="inlineStr">
        <is>
          <t>허브누리</t>
        </is>
      </c>
      <c r="B25" s="34" t="inlineStr">
        <is>
          <t>활성</t>
        </is>
      </c>
      <c r="C25" s="34" t="inlineStr">
        <is>
          <t>바이오 디톡스</t>
        </is>
      </c>
      <c r="D25" s="34" t="n">
        <v>2</v>
      </c>
      <c r="E25" s="34" t="inlineStr">
        <is>
          <t>5 ~ 7 ~ 10%</t>
        </is>
      </c>
      <c r="F25" s="34" t="inlineStr">
        <is>
          <t>해독 효소 활성화 및 모공 노폐물 정화를 돕는 항산화 바이오 복합체.</t>
        </is>
      </c>
      <c r="G25" s="89" t="n"/>
    </row>
    <row r="26">
      <c r="A26" s="34" t="inlineStr">
        <is>
          <t>허브누리</t>
        </is>
      </c>
      <c r="B26" s="34" t="inlineStr">
        <is>
          <t>활성</t>
        </is>
      </c>
      <c r="C26" s="34" t="inlineStr">
        <is>
          <t>MSM (식이유황)</t>
        </is>
      </c>
      <c r="D26" s="34" t="n">
        <v>2</v>
      </c>
      <c r="E26" s="34" t="inlineStr">
        <is>
          <t>1 ~ 2 ~ 2%</t>
        </is>
      </c>
      <c r="F26" s="34" t="inlineStr">
        <is>
          <t>식이유황(메틸설포닐메탄). 유황 성분 공급으로 피부 장벽 강화, 콜라겐 합성 유도 및 트러블 진정.</t>
        </is>
      </c>
      <c r="G26" s="89" t="n"/>
    </row>
    <row r="27">
      <c r="A27" s="34" t="inlineStr">
        <is>
          <t>허브누리</t>
        </is>
      </c>
      <c r="B27" s="34" t="inlineStr">
        <is>
          <t>향</t>
        </is>
      </c>
      <c r="C27" s="34" t="inlineStr">
        <is>
          <t>휘기에 (무화과향)</t>
        </is>
      </c>
      <c r="D27" s="34" t="n">
        <v>2</v>
      </c>
      <c r="E27" s="34" t="inlineStr">
        <is>
          <t>3 ~ 3 ~ 3%</t>
        </is>
      </c>
      <c r="F27" s="34" t="inlineStr">
        <is>
          <t>무화과 나무의 잎과 열매 향이 어우러진 럭셔리 룸스프레이·디퓨저 전용 프래그런스.</t>
        </is>
      </c>
      <c r="G27" s="89" t="n"/>
    </row>
    <row r="28">
      <c r="A28" s="34" t="inlineStr">
        <is>
          <t>허브누리</t>
        </is>
      </c>
      <c r="B28" s="34" t="inlineStr">
        <is>
          <t>향</t>
        </is>
      </c>
      <c r="C28" s="34" t="inlineStr">
        <is>
          <t>자스민 EO</t>
        </is>
      </c>
      <c r="D28" s="34" t="n">
        <v>2</v>
      </c>
      <c r="E28" s="34" t="inlineStr">
        <is>
          <t>0 ~ 0 ~ 0%</t>
        </is>
      </c>
      <c r="F28" s="34" t="inlineStr">
        <is>
          <t>자스민 꽃 용매 추출 오일. 건조·민감 피부 회복, 우아하고 이국적인 플로럴 향.</t>
        </is>
      </c>
      <c r="G28" s="89" t="n"/>
    </row>
    <row r="29">
      <c r="A29" s="34" t="inlineStr">
        <is>
          <t>허브누리</t>
        </is>
      </c>
      <c r="B29" s="34" t="inlineStr">
        <is>
          <t>향</t>
        </is>
      </c>
      <c r="C29" s="34" t="inlineStr">
        <is>
          <t>체리블라썸 향</t>
        </is>
      </c>
      <c r="D29" s="34" t="n">
        <v>2</v>
      </c>
      <c r="E29" s="34" t="inlineStr">
        <is>
          <t>0 ~ 4 ~ 8%</t>
        </is>
      </c>
      <c r="F29" s="34" t="inlineStr">
        <is>
          <t>프탈레이트 무첨가 체리블라썸 프래그런스. 화사하고 은은한 벚꽃 향 연출.</t>
        </is>
      </c>
      <c r="G29" s="89" t="n"/>
    </row>
    <row r="30">
      <c r="A30" s="34" t="inlineStr">
        <is>
          <t>허브누리</t>
        </is>
      </c>
      <c r="B30" s="34" t="inlineStr">
        <is>
          <t>향</t>
        </is>
      </c>
      <c r="C30" s="34" t="inlineStr">
        <is>
          <t>마음을 전하는 카네이션 향</t>
        </is>
      </c>
      <c r="D30" s="34" t="n">
        <v>2</v>
      </c>
      <c r="E30" s="34" t="inlineStr">
        <is>
          <t>24 ~ 25 ~ 25%</t>
        </is>
      </c>
      <c r="F30" s="34" t="inlineStr">
        <is>
          <t>프탈레이트 프리의 우아하고 깊은 카네이션 향 프래그런스 오일.</t>
        </is>
      </c>
      <c r="G30" s="89" t="n"/>
    </row>
    <row r="31">
      <c r="A31" s="34" t="inlineStr">
        <is>
          <t>허브누리</t>
        </is>
      </c>
      <c r="B31" s="34" t="inlineStr">
        <is>
          <t>향</t>
        </is>
      </c>
      <c r="C31" s="34" t="inlineStr">
        <is>
          <t>네롤리 플라워겔</t>
        </is>
      </c>
      <c r="D31" s="34" t="n">
        <v>2</v>
      </c>
      <c r="E31" s="34" t="inlineStr">
        <is>
          <t>10 ~ 30 ~ 50%</t>
        </is>
      </c>
      <c r="F31" s="34" t="inlineStr">
        <is>
          <t>오렌지꽃수와 네롤리 오일이 어우러져 민감 피부를 진정시키는 젤상 수상 원료.</t>
        </is>
      </c>
      <c r="G31" s="89" t="n"/>
    </row>
    <row r="32">
      <c r="A32" s="34" t="inlineStr">
        <is>
          <t>허브누리</t>
        </is>
      </c>
      <c r="B32" s="34" t="inlineStr">
        <is>
          <t>향</t>
        </is>
      </c>
      <c r="C32" s="34" t="inlineStr">
        <is>
          <t>클린 코튼향</t>
        </is>
      </c>
      <c r="D32" s="34" t="n">
        <v>2</v>
      </c>
      <c r="E32" s="34" t="inlineStr">
        <is>
          <t>0 ~ 0 ~ 0%</t>
        </is>
      </c>
      <c r="F32" s="34" t="inlineStr">
        <is>
          <t>갓 세탁한 깨끗한 섬유의 포근함과 산뜻함을 주는 프래그런스 오일.</t>
        </is>
      </c>
      <c r="G32" s="89" t="n"/>
    </row>
    <row r="33">
      <c r="A33" s="34" t="inlineStr">
        <is>
          <t>허브누리</t>
        </is>
      </c>
      <c r="B33" s="34" t="inlineStr">
        <is>
          <t>향</t>
        </is>
      </c>
      <c r="C33" s="34" t="inlineStr">
        <is>
          <t>시트로넬라 에센셜오일</t>
        </is>
      </c>
      <c r="D33" s="34" t="n">
        <v>2</v>
      </c>
      <c r="E33" s="34" t="inlineStr">
        <is>
          <t>1 ~ 2 ~ 3%</t>
        </is>
      </c>
      <c r="F33" s="34" t="inlineStr">
        <is>
          <t>벌레가 싫어하는 아로마향</t>
        </is>
      </c>
      <c r="G33" s="89" t="n"/>
    </row>
    <row r="34">
      <c r="A34" s="34" t="inlineStr">
        <is>
          <t>허브누리</t>
        </is>
      </c>
      <c r="B34" s="34" t="inlineStr">
        <is>
          <t>향</t>
        </is>
      </c>
      <c r="C34" s="34" t="inlineStr">
        <is>
          <t>팔마로사 에센셜오일</t>
        </is>
      </c>
      <c r="D34" s="34" t="n">
        <v>2</v>
      </c>
      <c r="E34" s="34" t="inlineStr">
        <is>
          <t>0 ~ 0 ~ 0%</t>
        </is>
      </c>
      <c r="F34" s="34" t="inlineStr">
        <is>
          <t>팔마로사 풀 증기 추출 오일. 장미와 유사한 향, 유수분 균형 조절 및 보습.</t>
        </is>
      </c>
      <c r="G34" s="89" t="n"/>
    </row>
    <row r="35">
      <c r="A35" s="34" t="inlineStr">
        <is>
          <t>허브누리</t>
        </is>
      </c>
      <c r="B35" s="34" t="inlineStr">
        <is>
          <t>향</t>
        </is>
      </c>
      <c r="C35" s="34" t="inlineStr">
        <is>
          <t>그레이프프룻EO</t>
        </is>
      </c>
      <c r="D35" s="34" t="n">
        <v>2</v>
      </c>
      <c r="E35" s="34" t="n"/>
      <c r="F35" s="34" t="inlineStr">
        <is>
          <t>자몽 껍질 압착 오일. 상쾌한 시트러스 향, 모공 수렴 및 슬리밍 케어 아로마.</t>
        </is>
      </c>
      <c r="G35" s="89" t="n"/>
    </row>
    <row r="36">
      <c r="A36" s="34" t="inlineStr">
        <is>
          <t>허브누리</t>
        </is>
      </c>
      <c r="B36" s="34" t="inlineStr">
        <is>
          <t>색소</t>
        </is>
      </c>
      <c r="C36" s="34" t="inlineStr">
        <is>
          <t>컬러믹스 파운데이션</t>
        </is>
      </c>
      <c r="D36" s="34" t="n">
        <v>2</v>
      </c>
      <c r="E36" s="34" t="inlineStr">
        <is>
          <t>13 ~ 13 ~ 13%</t>
        </is>
      </c>
      <c r="F36" s="34" t="inlineStr">
        <is>
          <t>티타늄디옥사이드 기반 색소 복합체. 파운데이션 및 BB크림용 커버 파우더.</t>
        </is>
      </c>
      <c r="G36" s="89" t="n"/>
    </row>
    <row r="37">
      <c r="A37" s="34" t="inlineStr">
        <is>
          <t>허브누리</t>
        </is>
      </c>
      <c r="B37" s="34" t="inlineStr">
        <is>
          <t>방부</t>
        </is>
      </c>
      <c r="C37" s="34" t="inlineStr">
        <is>
          <t>나트로틱스</t>
        </is>
      </c>
      <c r="D37" s="34" t="n">
        <v>2</v>
      </c>
      <c r="E37" s="34" t="inlineStr">
        <is>
          <t>2 ~ 2 ~ 2%</t>
        </is>
      </c>
      <c r="F37" s="34" t="inlineStr">
        <is>
          <t>초피나무, 할미꽃, 어성초 등 천연 복합 추출물. 광범위한 항균 스펙트럼과 강력한 산화 방지, 피부 진정 효과 제공.</t>
        </is>
      </c>
      <c r="G37" s="89" t="n"/>
    </row>
    <row r="38">
      <c r="A38" s="34" t="inlineStr">
        <is>
          <t>허브누리</t>
        </is>
      </c>
      <c r="B38" s="34" t="inlineStr">
        <is>
          <t>방부</t>
        </is>
      </c>
      <c r="C38" s="34" t="inlineStr">
        <is>
          <t>수용성 보존제</t>
        </is>
      </c>
      <c r="D38" s="34" t="n">
        <v>2</v>
      </c>
      <c r="E38" s="34" t="inlineStr">
        <is>
          <t>1 ~ 1 ~ 1%</t>
        </is>
      </c>
      <c r="F38" s="34" t="inlineStr">
        <is>
          <t>복합 식물 추출물 베이스로 스킨, 에센스 등 수성 제형에 용해되는 미생물 억제제.</t>
        </is>
      </c>
      <c r="G38" s="89" t="n"/>
    </row>
    <row r="39">
      <c r="A39" s="34" t="inlineStr">
        <is>
          <t>허브누리</t>
        </is>
      </c>
      <c r="B39" s="34" t="inlineStr">
        <is>
          <t>점증/pH</t>
        </is>
      </c>
      <c r="C39" s="34" t="inlineStr">
        <is>
          <t>글루카메이트</t>
        </is>
      </c>
      <c r="D39" s="34" t="n">
        <v>2</v>
      </c>
      <c r="E39" s="34" t="inlineStr">
        <is>
          <t>3 ~ 3 ~ 4%</t>
        </is>
      </c>
      <c r="F39" s="34" t="inlineStr">
        <is>
          <t>옥수수 유래 비이온성 점증제. 샴푸/바디워시 자극을 낮추고 쫀쫀한 점도를 형성함 (가열 용해 필요).</t>
        </is>
      </c>
      <c r="G39" s="89" t="n"/>
    </row>
    <row r="40">
      <c r="A40" s="34" t="inlineStr">
        <is>
          <t>허브누리</t>
        </is>
      </c>
      <c r="B40" s="34" t="inlineStr">
        <is>
          <t>분말·스크럽</t>
        </is>
      </c>
      <c r="C40" s="34" t="inlineStr">
        <is>
          <t>어성초분말</t>
        </is>
      </c>
      <c r="D40" s="34" t="n">
        <v>2</v>
      </c>
      <c r="E40" s="34" t="inlineStr">
        <is>
          <t>13 ~ 13 ~ 13%</t>
        </is>
      </c>
      <c r="F40" s="34" t="inlineStr">
        <is>
          <t>어성초(약모밀) 건조 분말. 쿠에르치트린 성분 함유로 강력한 항균, 여드름 및 트러블 완화.</t>
        </is>
      </c>
      <c r="G40" s="89" t="n"/>
    </row>
    <row r="41">
      <c r="A41" s="34" t="inlineStr">
        <is>
          <t>허브누리</t>
        </is>
      </c>
      <c r="B41" s="34" t="inlineStr">
        <is>
          <t>분말·스크럽</t>
        </is>
      </c>
      <c r="C41" s="34" t="inlineStr">
        <is>
          <t>(유기농) 설탕</t>
        </is>
      </c>
      <c r="D41" s="34" t="n">
        <v>2</v>
      </c>
      <c r="E41" s="34" t="inlineStr">
        <is>
          <t>47 ~ 51 ~ 56%</t>
        </is>
      </c>
      <c r="F41" s="34" t="inlineStr">
        <is>
          <t>천연 습윤 작용을 하는 글루코스 입자. 물리적 자극 없이 피지·각질을 녹여내는 립/바디 스크럽 성분.</t>
        </is>
      </c>
      <c r="G41" s="89" t="n"/>
    </row>
  </sheetData>
  <autoFilter ref="A4:G41"/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2026-10-26T17:12:21Z</dcterms:created>
  <dcterms:modified xsi:type="dcterms:W3CDTF">2026-10-26T17:12:22Z</dcterms:modified>
</cp:coreProperties>
</file>