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계" sheetId="1" state="visible" r:id="rId1"/>
    <sheet name="참고_골격" sheetId="2" state="visible" r:id="rId2"/>
    <sheet name="원료_고르기" sheetId="3" state="visible" r:id="rId3"/>
  </sheets>
  <definedNames>
    <definedName name="_xlnm._FilterDatabase" localSheetId="2" hidden="1">'원료_고르기'!$A$1:$D$174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33475B"/>
      <sz val="14"/>
    </font>
    <font>
      <b val="1"/>
      <color rgb="0055606E"/>
      <sz val="9"/>
    </font>
    <font>
      <b val="1"/>
      <color rgb="007A4A2A"/>
      <sz val="9"/>
    </font>
    <font>
      <sz val="9"/>
    </font>
    <font>
      <color rgb="0055606E"/>
      <sz val="9"/>
    </font>
  </fonts>
  <fills count="17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DCEBFF"/>
      </patternFill>
    </fill>
    <fill>
      <patternFill patternType="solid">
        <fgColor rgb="00FFF0CC"/>
      </patternFill>
    </fill>
    <fill>
      <patternFill patternType="solid">
        <fgColor rgb="00D8F5D8"/>
      </patternFill>
    </fill>
    <fill>
      <patternFill patternType="solid">
        <fgColor rgb="00E8E0D0"/>
      </patternFill>
    </fill>
    <fill>
      <patternFill patternType="solid">
        <fgColor rgb="00E6DAF5"/>
      </patternFill>
    </fill>
    <fill>
      <patternFill patternType="solid">
        <fgColor rgb="00CFF3F0"/>
      </patternFill>
    </fill>
    <fill>
      <patternFill patternType="solid">
        <fgColor rgb="00EAD9F7"/>
      </patternFill>
    </fill>
    <fill>
      <patternFill patternType="solid">
        <fgColor rgb="00FBD9E8"/>
      </patternFill>
    </fill>
    <fill>
      <patternFill patternType="solid">
        <fgColor rgb="00F5D9C0"/>
      </patternFill>
    </fill>
    <fill>
      <patternFill patternType="solid">
        <fgColor rgb="00E2E5E9"/>
      </patternFill>
    </fill>
    <fill>
      <patternFill patternType="solid">
        <fgColor rgb="00E9F0D6"/>
      </patternFill>
    </fill>
    <fill>
      <patternFill patternType="solid">
        <fgColor rgb="00F0F0F0"/>
      </patternFill>
    </fill>
    <fill>
      <patternFill patternType="solid">
        <fgColor rgb="00FCEFBE"/>
      </patternFill>
    </fill>
    <fill>
      <patternFill patternType="solid">
        <fgColor rgb="00FDECE0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pivotButton="0" quotePrefix="0" xfId="0"/>
    <xf numFmtId="0" fontId="1" fillId="15" borderId="0" pivotButton="0" quotePrefix="0" xfId="0"/>
    <xf numFmtId="0" fontId="0" fillId="15" borderId="1" pivotButton="0" quotePrefix="0" xfId="0"/>
    <xf numFmtId="0" fontId="1" fillId="15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16" borderId="0" pivotButton="0" quotePrefix="0" xfId="0"/>
    <xf numFmtId="0" fontId="0" fillId="16" borderId="0" applyAlignment="1" pivotButton="0" quotePrefix="0" xfId="0">
      <alignment vertical="top" wrapText="1"/>
    </xf>
    <xf numFmtId="0" fontId="0" fillId="16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5" fillId="0" borderId="0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  <xf numFmtId="0" fontId="0" fillId="16" borderId="4" pivotButton="0" quotePrefix="0" xfId="0"/>
    <xf numFmtId="0" fontId="0" fillId="16" borderId="5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9" customWidth="1" min="3" max="3"/>
    <col width="9" customWidth="1" min="4" max="4"/>
    <col width="30" customWidth="1" min="5" max="5"/>
    <col width="2" customWidth="1" min="6" max="6"/>
    <col width="14" customWidth="1" min="7" max="7"/>
    <col width="10" customWidth="1" min="8" max="8"/>
  </cols>
  <sheetData>
    <row r="1">
      <c r="A1" s="1" t="inlineStr">
        <is>
          <t>처방 설계 시트  —  학습한 골격으로 직접 설계</t>
        </is>
      </c>
    </row>
    <row r="2">
      <c r="A2" s="2" t="inlineStr">
        <is>
          <t>① 제형 선택</t>
        </is>
      </c>
      <c r="B2" s="3" t="n"/>
      <c r="D2" s="2" t="inlineStr">
        <is>
          <t>② 총 배치량(g)</t>
        </is>
      </c>
      <c r="E2" s="4" t="n">
        <v>100</v>
      </c>
    </row>
    <row r="3" ht="32" customHeight="1">
      <c r="A3" s="5" t="inlineStr">
        <is>
          <t>목표 골격(참고)</t>
        </is>
      </c>
      <c r="B3" s="6">
        <f>IFERROR(VLOOKUP($B$2,참고_골격!$A:$C,2,FALSE),"← 제형을 선택하세요")</f>
        <v/>
      </c>
    </row>
    <row r="4" ht="40" customHeight="1">
      <c r="A4" s="7" t="inlineStr">
        <is>
          <t>배합 주의</t>
        </is>
      </c>
      <c r="B4" s="8">
        <f>IFERROR(VLOOKUP($B$2,참고_골격!$A:$C,3,FALSE),"")</f>
        <v/>
      </c>
      <c r="C4" s="9" t="n"/>
      <c r="D4" s="9" t="n"/>
      <c r="E4" s="9" t="n"/>
    </row>
    <row r="6">
      <c r="A6" s="10" t="inlineStr">
        <is>
          <t>원료명</t>
        </is>
      </c>
      <c r="B6" s="10" t="inlineStr">
        <is>
          <t>역할</t>
        </is>
      </c>
      <c r="C6" s="10" t="inlineStr">
        <is>
          <t>투입%</t>
        </is>
      </c>
      <c r="D6" s="10" t="inlineStr">
        <is>
          <t>그램</t>
        </is>
      </c>
      <c r="E6" s="10" t="inlineStr">
        <is>
          <t>메모</t>
        </is>
      </c>
      <c r="G6" s="11" t="inlineStr">
        <is>
          <t>phase 합계(%)</t>
        </is>
      </c>
    </row>
    <row r="7">
      <c r="A7" s="12" t="n"/>
      <c r="B7" s="12" t="n"/>
      <c r="C7" s="12" t="n"/>
      <c r="D7" s="12">
        <f>IF($C7="","",ROUND($C7*$E$2/100,2))</f>
        <v/>
      </c>
      <c r="E7" s="12" t="n"/>
      <c r="G7" s="13" t="inlineStr">
        <is>
          <t>수상</t>
        </is>
      </c>
      <c r="H7" s="14">
        <f>IF(SUMIF($B$7:$B$26,G7,$C$7:$C$26)=0,"",ROUND(SUMIF($B$7:$B$26,G7,$C$7:$C$26),1))</f>
        <v/>
      </c>
    </row>
    <row r="8">
      <c r="A8" s="12" t="n"/>
      <c r="B8" s="12" t="n"/>
      <c r="C8" s="12" t="n"/>
      <c r="D8" s="12">
        <f>IF($C8="","",ROUND($C8*$E$2/100,2))</f>
        <v/>
      </c>
      <c r="E8" s="12" t="n"/>
      <c r="G8" s="15" t="inlineStr">
        <is>
          <t>유상</t>
        </is>
      </c>
      <c r="H8" s="14">
        <f>IF(SUMIF($B$7:$B$26,G8,$C$7:$C$26)=0,"",ROUND(SUMIF($B$7:$B$26,G8,$C$7:$C$26),1))</f>
        <v/>
      </c>
    </row>
    <row r="9">
      <c r="A9" s="12" t="n"/>
      <c r="B9" s="12" t="n"/>
      <c r="C9" s="12" t="n"/>
      <c r="D9" s="12">
        <f>IF($C9="","",ROUND($C9*$E$2/100,2))</f>
        <v/>
      </c>
      <c r="E9" s="12" t="n"/>
      <c r="G9" s="16" t="inlineStr">
        <is>
          <t>유화</t>
        </is>
      </c>
      <c r="H9" s="14">
        <f>IF(SUMIF($B$7:$B$26,G9,$C$7:$C$26)=0,"",ROUND(SUMIF($B$7:$B$26,G9,$C$7:$C$26),1))</f>
        <v/>
      </c>
    </row>
    <row r="10">
      <c r="A10" s="12" t="n"/>
      <c r="B10" s="12" t="n"/>
      <c r="C10" s="12" t="n"/>
      <c r="D10" s="12">
        <f>IF($C10="","",ROUND($C10*$E$2/100,2))</f>
        <v/>
      </c>
      <c r="E10" s="12" t="n"/>
      <c r="G10" s="17" t="inlineStr">
        <is>
          <t>경화</t>
        </is>
      </c>
      <c r="H10" s="14">
        <f>IF(SUMIF($B$7:$B$26,G10,$C$7:$C$26)=0,"",ROUND(SUMIF($B$7:$B$26,G10,$C$7:$C$26),1))</f>
        <v/>
      </c>
    </row>
    <row r="11">
      <c r="A11" s="12" t="n"/>
      <c r="B11" s="12" t="n"/>
      <c r="C11" s="12" t="n"/>
      <c r="D11" s="12">
        <f>IF($C11="","",ROUND($C11*$E$2/100,2))</f>
        <v/>
      </c>
      <c r="E11" s="12" t="n"/>
      <c r="G11" s="18" t="inlineStr">
        <is>
          <t>계면</t>
        </is>
      </c>
      <c r="H11" s="14">
        <f>IF(SUMIF($B$7:$B$26,G11,$C$7:$C$26)=0,"",ROUND(SUMIF($B$7:$B$26,G11,$C$7:$C$26),1))</f>
        <v/>
      </c>
    </row>
    <row r="12">
      <c r="A12" s="12" t="n"/>
      <c r="B12" s="12" t="n"/>
      <c r="C12" s="12" t="n"/>
      <c r="D12" s="12">
        <f>IF($C12="","",ROUND($C12*$E$2/100,2))</f>
        <v/>
      </c>
      <c r="E12" s="12" t="n"/>
      <c r="G12" s="19" t="inlineStr">
        <is>
          <t>보습</t>
        </is>
      </c>
      <c r="H12" s="14">
        <f>IF(SUMIF($B$7:$B$26,G12,$C$7:$C$26)=0,"",ROUND(SUMIF($B$7:$B$26,G12,$C$7:$C$26),1))</f>
        <v/>
      </c>
    </row>
    <row r="13">
      <c r="A13" s="12" t="n"/>
      <c r="B13" s="12" t="n"/>
      <c r="C13" s="12" t="n"/>
      <c r="D13" s="12">
        <f>IF($C13="","",ROUND($C13*$E$2/100,2))</f>
        <v/>
      </c>
      <c r="E13" s="12" t="n"/>
      <c r="G13" s="20" t="inlineStr">
        <is>
          <t>활성</t>
        </is>
      </c>
      <c r="H13" s="14">
        <f>IF(SUMIF($B$7:$B$26,G13,$C$7:$C$26)=0,"",ROUND(SUMIF($B$7:$B$26,G13,$C$7:$C$26),1))</f>
        <v/>
      </c>
    </row>
    <row r="14">
      <c r="A14" s="12" t="n"/>
      <c r="B14" s="12" t="n"/>
      <c r="C14" s="12" t="n"/>
      <c r="D14" s="12">
        <f>IF($C14="","",ROUND($C14*$E$2/100,2))</f>
        <v/>
      </c>
      <c r="E14" s="12" t="n"/>
      <c r="G14" s="21" t="inlineStr">
        <is>
          <t>향</t>
        </is>
      </c>
      <c r="H14" s="14">
        <f>IF(SUMIF($B$7:$B$26,G14,$C$7:$C$26)=0,"",ROUND(SUMIF($B$7:$B$26,G14,$C$7:$C$26),1))</f>
        <v/>
      </c>
    </row>
    <row r="15">
      <c r="A15" s="12" t="n"/>
      <c r="B15" s="12" t="n"/>
      <c r="C15" s="12" t="n"/>
      <c r="D15" s="12">
        <f>IF($C15="","",ROUND($C15*$E$2/100,2))</f>
        <v/>
      </c>
      <c r="E15" s="12" t="n"/>
      <c r="G15" s="22" t="inlineStr">
        <is>
          <t>색소</t>
        </is>
      </c>
      <c r="H15" s="14">
        <f>IF(SUMIF($B$7:$B$26,G15,$C$7:$C$26)=0,"",ROUND(SUMIF($B$7:$B$26,G15,$C$7:$C$26),1))</f>
        <v/>
      </c>
    </row>
    <row r="16">
      <c r="A16" s="12" t="n"/>
      <c r="B16" s="12" t="n"/>
      <c r="C16" s="12" t="n"/>
      <c r="D16" s="12">
        <f>IF($C16="","",ROUND($C16*$E$2/100,2))</f>
        <v/>
      </c>
      <c r="E16" s="12" t="n"/>
      <c r="G16" s="23" t="inlineStr">
        <is>
          <t>방부</t>
        </is>
      </c>
      <c r="H16" s="14">
        <f>IF(SUMIF($B$7:$B$26,G16,$C$7:$C$26)=0,"",ROUND(SUMIF($B$7:$B$26,G16,$C$7:$C$26),1))</f>
        <v/>
      </c>
    </row>
    <row r="17">
      <c r="A17" s="12" t="n"/>
      <c r="B17" s="12" t="n"/>
      <c r="C17" s="12" t="n"/>
      <c r="D17" s="12">
        <f>IF($C17="","",ROUND($C17*$E$2/100,2))</f>
        <v/>
      </c>
      <c r="E17" s="12" t="n"/>
      <c r="G17" s="24" t="inlineStr">
        <is>
          <t>점증/pH</t>
        </is>
      </c>
      <c r="H17" s="14">
        <f>IF(SUMIF($B$7:$B$26,G17,$C$7:$C$26)=0,"",ROUND(SUMIF($B$7:$B$26,G17,$C$7:$C$26),1))</f>
        <v/>
      </c>
    </row>
    <row r="18">
      <c r="A18" s="12" t="n"/>
      <c r="B18" s="12" t="n"/>
      <c r="C18" s="12" t="n"/>
      <c r="D18" s="12">
        <f>IF($C18="","",ROUND($C18*$E$2/100,2))</f>
        <v/>
      </c>
      <c r="E18" s="12" t="n"/>
      <c r="G18" s="25" t="inlineStr">
        <is>
          <t>기타</t>
        </is>
      </c>
      <c r="H18" s="14">
        <f>IF(SUMIF($B$7:$B$26,G18,$C$7:$C$26)=0,"",ROUND(SUMIF($B$7:$B$26,G18,$C$7:$C$26),1))</f>
        <v/>
      </c>
    </row>
    <row r="19">
      <c r="A19" s="12" t="n"/>
      <c r="B19" s="12" t="n"/>
      <c r="C19" s="12" t="n"/>
      <c r="D19" s="12">
        <f>IF($C19="","",ROUND($C19*$E$2/100,2))</f>
        <v/>
      </c>
      <c r="E19" s="12" t="n"/>
    </row>
    <row r="20">
      <c r="A20" s="12" t="n"/>
      <c r="B20" s="12" t="n"/>
      <c r="C20" s="12" t="n"/>
      <c r="D20" s="12">
        <f>IF($C20="","",ROUND($C20*$E$2/100,2))</f>
        <v/>
      </c>
      <c r="E20" s="12" t="n"/>
      <c r="G20" s="2" t="inlineStr">
        <is>
          <t>자동 점검</t>
        </is>
      </c>
    </row>
    <row r="21" ht="28" customHeight="1">
      <c r="A21" s="12" t="n"/>
      <c r="B21" s="12" t="n"/>
      <c r="C21" s="12" t="n"/>
      <c r="D21" s="12">
        <f>IF($C21="","",ROUND($C21*$E$2/100,2))</f>
        <v/>
      </c>
      <c r="E21" s="12" t="n"/>
      <c r="G21" s="26">
        <f>IF(SUM(C7:C26)=0,"→ 원료를 입력하세요",IF(ABS(SUM(C7:C26)-100)&lt;0.5,"✓ 합계 100%","⚠ 합계 "&amp;ROUND(SUM(C7:C26),1)&amp;"% (100 맞추기)"))</f>
        <v/>
      </c>
    </row>
    <row r="22" ht="28" customHeight="1">
      <c r="A22" s="12" t="n"/>
      <c r="B22" s="12" t="n"/>
      <c r="C22" s="12" t="n"/>
      <c r="D22" s="12">
        <f>IF($C22="","",ROUND($C22*$E$2/100,2))</f>
        <v/>
      </c>
      <c r="E22" s="12" t="n"/>
      <c r="G22" s="26">
        <f>IF(AND(SUMIF(B7:B26,"수상",C7:C26)&gt;0,SUMIF(B7:B26,"유상",C7:C26)&gt;0,SUMIF(B7:B26,"유화",C7:C26)=0),"⚠ 물+오일인데 유화제 없음 → 분리","")</f>
        <v/>
      </c>
    </row>
    <row r="23" ht="28" customHeight="1">
      <c r="A23" s="12" t="n"/>
      <c r="B23" s="12" t="n"/>
      <c r="C23" s="12" t="n"/>
      <c r="D23" s="12">
        <f>IF($C23="","",ROUND($C23*$E$2/100,2))</f>
        <v/>
      </c>
      <c r="E23" s="12" t="n"/>
      <c r="G23" s="26">
        <f>IF(AND(SUMIF(B7:B26,"수상",C7:C26)&gt;0,SUMIF(B7:B26,"방부",C7:C26)=0),"⚠ 수상 있는데 방부 없음 → 변질 위험(무방부는 냉장·단기)","")</f>
        <v/>
      </c>
    </row>
    <row r="24" ht="28" customHeight="1">
      <c r="A24" s="12" t="n"/>
      <c r="B24" s="12" t="n"/>
      <c r="C24" s="12" t="n"/>
      <c r="D24" s="12">
        <f>IF($C24="","",ROUND($C24*$E$2/100,2))</f>
        <v/>
      </c>
      <c r="E24" s="12" t="n"/>
      <c r="G24" s="26">
        <f>IF(SUMIF(B7:B26,"향",C7:C26)&gt;1,"⚠ 향 1% 초과 → 자극/규제 주의","")</f>
        <v/>
      </c>
    </row>
    <row r="25">
      <c r="A25" s="12" t="n"/>
      <c r="B25" s="12" t="n"/>
      <c r="C25" s="12" t="n"/>
      <c r="D25" s="12">
        <f>IF($C25="","",ROUND($C25*$E$2/100,2))</f>
        <v/>
      </c>
      <c r="E25" s="12" t="n"/>
    </row>
    <row r="26" ht="56" customHeight="1">
      <c r="A26" s="27" t="inlineStr">
        <is>
          <t>사용법: ① 제형 선택(위 골격·주의 참고) → ② 배치량 입력 → ③ 원료·역할·투입% 입력(원료는 '원료_고르기' 시트 참고). 그램·phase합계·점검은 자동. ⚠ 수치는 설계 연습용 — 실제 제조 전 식약처 고시·공급사 TDS·방부력 테스트 검증.</t>
        </is>
      </c>
      <c r="B26" s="28" t="n"/>
      <c r="C26" s="28" t="n"/>
      <c r="D26" s="28" t="n"/>
      <c r="E26" s="29" t="n"/>
    </row>
    <row r="27">
      <c r="A27" s="30" t="inlineStr">
        <is>
          <t>합계</t>
        </is>
      </c>
      <c r="B27" s="31" t="n"/>
      <c r="C27" s="32">
        <f>SUM(C7:C26)</f>
        <v/>
      </c>
      <c r="D27" s="32">
        <f>SUM(D7:D26)</f>
        <v/>
      </c>
      <c r="E27" s="31" t="n"/>
    </row>
  </sheetData>
  <mergeCells count="10">
    <mergeCell ref="G21:H21"/>
    <mergeCell ref="G20:H20"/>
    <mergeCell ref="A26:E26"/>
    <mergeCell ref="B4:E4"/>
    <mergeCell ref="G24:H24"/>
    <mergeCell ref="A1:E1"/>
    <mergeCell ref="B3:E3"/>
    <mergeCell ref="G6:H6"/>
    <mergeCell ref="G22:H22"/>
    <mergeCell ref="G23:H23"/>
  </mergeCells>
  <dataValidations count="2">
    <dataValidation sqref="B2" showDropDown="0" showInputMessage="0" showErrorMessage="0" allowBlank="1" type="list">
      <formula1>=참고_골격!$A$2:$A$16</formula1>
    </dataValidation>
    <dataValidation sqref="B7:B26" showDropDown="0" showInputMessage="0" showErrorMessage="0" allowBlank="1" type="list">
      <formula1>"수상,유상,유화,경화,계면,보습,활성,향,색소,방부,점증/pH,기타"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70" customWidth="1" min="3" max="3"/>
  </cols>
  <sheetData>
    <row r="1">
      <c r="A1" s="11" t="inlineStr">
        <is>
          <t>제형</t>
        </is>
      </c>
      <c r="B1" s="11" t="inlineStr">
        <is>
          <t>목표 골격(전형 %)</t>
        </is>
      </c>
      <c r="C1" s="11" t="inlineStr">
        <is>
          <t>배합 주의</t>
        </is>
      </c>
    </row>
    <row r="2" ht="40" customHeight="1">
      <c r="A2" t="inlineStr">
        <is>
          <t>기타(미분류)</t>
        </is>
      </c>
      <c r="B2" s="6" t="inlineStr">
        <is>
          <t>수상 17~67% · 유화 1~2% · 보습 6~6% · 활성 19~75% · 향 2~2% · 점증/pH 1~1% · 기타 2~99%</t>
        </is>
      </c>
      <c r="C2" s="6" t="inlineStr">
        <is>
          <t>· 먼저 제형(수상/유상/무수/유화 여부)을 파악하고 해당 골격을 참고. / · 기본 점검: 방부(물 있으면 필수)·pH·유화 온도.</t>
        </is>
      </c>
    </row>
    <row r="3" ht="40" customHeight="1">
      <c r="A3" t="inlineStr">
        <is>
          <t>토너·미스트</t>
        </is>
      </c>
      <c r="B3" s="6" t="inlineStr">
        <is>
          <t>수상 82~92% · 유상 5~28% · 유화 1~2% · 보습 2~4% · 활성 6~15% · 향 소량 · 방부 1~2% · 기타 5~5%</t>
        </is>
      </c>
      <c r="C3" s="6" t="inlineStr">
        <is>
          <t>· 에센셜오일은 가용화제(올리브리퀴드 등) 없이 넣으면 분리·자극 — 전체 0.5~1% 이내로. / · 물이 대부분이라 방부 필수(무방부는 냉장·수일 내 소진). / · 점증제(잔탄검 등)는 글리세린에 미리 분산 후 넣어야 안 뭉침.</t>
        </is>
      </c>
    </row>
    <row r="4" ht="40" customHeight="1">
      <c r="A4" t="inlineStr">
        <is>
          <t>젤</t>
        </is>
      </c>
      <c r="B4" s="6" t="inlineStr">
        <is>
          <t>수상 22~28% · 유화 2~3% · 보습 4~4% · 활성 66~95% · 향 0~1% · 방부 1~1% · 점증/pH 25~30%</t>
        </is>
      </c>
      <c r="C4" s="6" t="inlineStr">
        <is>
          <t>· 카보머는 물에 완전 수화 후 중화(pH 조절)해야 젤이 잡힘. / · 전해질(소금기)·고농도 알콜·산성 활성은 점도를 무너뜨릴 수 있음. / · 기포 생기면 잠시 두어 빼거나 저속 교반.</t>
        </is>
      </c>
    </row>
    <row r="5" ht="40" customHeight="1">
      <c r="A5" t="inlineStr">
        <is>
          <t>앰플·세럼</t>
        </is>
      </c>
      <c r="B5" s="6" t="inlineStr">
        <is>
          <t>수상 25~59% · 유상 0~7% · 유화 1~2% · 보습 2~5% · 활성 50~97% · 향 소량 · 방부 1~2% · 점증/pH 0~1% · 기타 2~36%</t>
        </is>
      </c>
      <c r="C5" s="6" t="inlineStr">
        <is>
          <t>· 활성마다 안정 pH가 다름(비타민C 산성, 펩타이드 중성) — 섞기 전 확인. / · 히알루론산은 물에 충분히 불려 사용(덩어리 방지). / · 고농도라도 권장 사용량 초과 ≠ 효과 비례, 자극만 커질 수 있음.</t>
        </is>
      </c>
    </row>
    <row r="6" ht="40" customHeight="1">
      <c r="A6" t="inlineStr">
        <is>
          <t>팩·마스크·패드</t>
        </is>
      </c>
      <c r="B6" s="6" t="inlineStr">
        <is>
          <t>수상 30~66% · 유상 6~9% · 유화 3~5% · 보습 4~5% · 활성 33~85% · 향 소량 · 방부 1~2% · 점증/pH 0~10% · 기타 5~33%</t>
        </is>
      </c>
      <c r="C6" s="6" t="inlineStr">
        <is>
          <t>· 클레이는 금속 도구 피하고, 굳기 전 씻어냄(과건조 시 당김). / · 시트·패드는 수분 많아 오염·변질 취약 → 위생·방부 철저. / · 가루 클레이는 수상에 먼저 분산 후 나머지 배합.</t>
        </is>
      </c>
    </row>
    <row r="7" ht="40" customHeight="1">
      <c r="A7" t="inlineStr">
        <is>
          <t>로션</t>
        </is>
      </c>
      <c r="B7" s="6" t="inlineStr">
        <is>
          <t>수상 54~70% · 유상 5~15% · 유화 3~4% · 경화 1~2% · 보습 3~5% · 활성 14~28% · 향 소량 · 방부 1~2% · 점증/pH 소량 · 기타 2~5%</t>
        </is>
      </c>
      <c r="C7" s="6" t="inlineStr">
        <is>
          <t>· 유화 핵심: 수상·유상 같은 온도(65~75℃)에서 합쳐야 안 깨짐. / · 유화제가 부족하면 분리 — 오일상 대비 적정 비율 확보. / · 향·활성 첨가물은 40~50℃로 식은 뒤 투입(열 손상 방지).</t>
        </is>
      </c>
    </row>
    <row r="8" ht="40" customHeight="1">
      <c r="A8" t="inlineStr">
        <is>
          <t>크림</t>
        </is>
      </c>
      <c r="B8" s="6" t="inlineStr">
        <is>
          <t>수상 34~52% · 유상 9~25% · 유화 4~5% · 경화 1~2% · 보습 3~5% · 활성 19~77% · 향 소량 · 색소 4~13% · 방부 1~1% · 점증/pH 0~21% · 기타 5~10%</t>
        </is>
      </c>
      <c r="C8" s="6" t="inlineStr">
        <is>
          <t>· 왁스·버터 완전히 녹인 뒤 유화, 식으며 점도가 오름. / · 로션과 같은 '동일 온도 유화' 원칙 + 유상 비율 높아 핸드블렌더로 미세화. / · 수분 함유 → 방부·pH 관리 필수.</t>
        </is>
      </c>
    </row>
    <row r="9" ht="40" customHeight="1">
      <c r="A9" t="inlineStr">
        <is>
          <t>페이스·바디오일</t>
        </is>
      </c>
      <c r="B9" s="6" t="inlineStr">
        <is>
          <t>유상 91~100% · 유화 17~17% · 활성 6~50% · 향 1~1% · 기타 소량</t>
        </is>
      </c>
      <c r="C9" s="6" t="inlineStr">
        <is>
          <t>· 무수 처방 → 방부 불필요, 대신 물 유입 금지(들어가면 상함). / · 산패 방지: 비타민E(토코페롤) 소량 + 서늘·차광 보관. / · 에센셜오일은 캐리어오일에 희석(원액 도포는 자극).</t>
        </is>
      </c>
    </row>
    <row r="10" ht="40" customHeight="1">
      <c r="A10" t="inlineStr">
        <is>
          <t>밤·살브·연고</t>
        </is>
      </c>
      <c r="B10" s="6" t="inlineStr">
        <is>
          <t>유상 57~80% · 경화 18~24% · 활성 11~60% · 향 1~3% · 기타 2~7%</t>
        </is>
      </c>
      <c r="C10" s="6" t="inlineStr">
        <is>
          <t>· 왁스(밀랍·칸데릴라) 비율이 굳기를 결정 — 늘리면 단단, 줄이면 말랑. / · 무수 처방 → 방부 불필요, 수분 유입 금지. / · 다 녹인 뒤 40~50℃에서 향 투입, 굳으며 수축·기포 가능.</t>
        </is>
      </c>
    </row>
    <row r="11" ht="40" customHeight="1">
      <c r="A11" t="inlineStr">
        <is>
          <t>색조</t>
        </is>
      </c>
      <c r="B11" s="6" t="inlineStr">
        <is>
          <t>수상 32~76% · 유상 58~88% · 경화 6~17% · 활성 14~29% · 향 1~3% · 색소 13~15% · 기타 8~24%</t>
        </is>
      </c>
      <c r="C11" s="6" t="inlineStr">
        <is>
          <t>· 파우더(색소·마이카)는 뭉치면 색 얼룩 → 미리 갈거나 분산제로 분산. / · 립·무수 색조는 방부 불필요, 수분 유입만 주의. / · 눈가·입술용은 사용 허가된 색소인지 확인(안전성·규제).</t>
        </is>
      </c>
    </row>
    <row r="12" ht="40" customHeight="1">
      <c r="A12" t="inlineStr">
        <is>
          <t>세정(클렌징)</t>
        </is>
      </c>
      <c r="B12" s="6" t="inlineStr">
        <is>
          <t>수상 25~39% · 유상 14~75% · 유화 4~49% · 경화 5~5% · 계면 30~84% · 보습 3~8% · 활성 10~55% · 향 1~2% · 방부 1~3% · 점증/pH 4~10% · 기타 10~26%</t>
        </is>
      </c>
      <c r="C12" s="6" t="inlineStr">
        <is>
          <t>· 계면활성제 과농도는 자극 — 아미노산·글루코사이드계로 순하게. / · 약산성(pH 5~6)으로 맞추면 피부 부담↓. / · 워셔블 오일은 가용화제(올리브리퀴드) 비율 확보해야 물에 헹궈짐.</t>
        </is>
      </c>
    </row>
    <row r="13" ht="40" customHeight="1">
      <c r="A13" t="inlineStr">
        <is>
          <t>헤어세정</t>
        </is>
      </c>
      <c r="B13" s="6" t="inlineStr">
        <is>
          <t>수상 8~69% · 유상 1~2% · 유화 2~100% · 계면 49~79% · 보습 4~5% · 활성 19~86% · 향 1~2% · 방부 1~78% · 점증/pH 0~3% · 기타 2~6%</t>
        </is>
      </c>
      <c r="C13" s="6" t="inlineStr">
        <is>
          <t>· 물비누베이스는 알칼리 → 산성 린스(구연산)로 마무리하면 모발 정돈. / · 물 함량 높아 방부 필수. / · 두피 민감 — 계면활성제·에센셜오일 농도 과하지 않게.</t>
        </is>
      </c>
    </row>
    <row r="14" ht="40" customHeight="1">
      <c r="A14" t="inlineStr">
        <is>
          <t>완제베이스+활성</t>
        </is>
      </c>
      <c r="B14" s="6" t="inlineStr">
        <is>
          <t>수상 10~53% · 유상 0~75% · 경화 16~18% · 보습 3~11% · 활성 90~100% · 향 0~2% · 방부 1~2% · 기타 16~90%</t>
        </is>
      </c>
      <c r="C14" s="6" t="inlineStr">
        <is>
          <t>· 완제 베이스는 이미 유화·방부 완료 → 활성 '소량 추가'만(과투입 시 유화 깨짐). / · 베이스 권장 첨가 한도를 지킬 것. / · 활성 pH가 베이스와 안 맞으면 분리·변색.</t>
        </is>
      </c>
    </row>
    <row r="15" ht="40" customHeight="1">
      <c r="A15" t="inlineStr">
        <is>
          <t>입욕·스크럽</t>
        </is>
      </c>
      <c r="B15" s="6" t="inlineStr">
        <is>
          <t>수상 3~23% · 유상 3~40% · 계면 6~14% · 보습 5~5% · 향 1~2% · 점증/pH 68~76% · 기타 10~60%</t>
        </is>
      </c>
      <c r="C15" s="6" t="inlineStr">
        <is>
          <t>· 바스밤: 베이킹소다+구연산은 습기에 미리 반응 → 건조·밀봉 보관. / · 스크럽 입자가 거칠면 피부 손상 → 고운 입자 사용. / · 오일 함유 제품은 욕조 미끄럼 주의.</t>
        </is>
      </c>
    </row>
    <row r="16" ht="40" customHeight="1">
      <c r="A16" t="inlineStr">
        <is>
          <t>생활화학</t>
        </is>
      </c>
      <c r="B16" s="6" t="inlineStr">
        <is>
          <t>수상 24~95% · 유상 3~50% · 유화 3~3% · 경화 83~92% · 계면 41~49% · 보습 4~4% · 활성 10~83% · 향 1~50% · 색소 0~2% · 점증/pH 0~4% · 기타 50~90%</t>
        </is>
      </c>
      <c r="C16" s="6" t="inlineStr">
        <is>
          <t>· 화장품과 규제 레짐이 다름 — 생활화학제품은 안전확인·신고 대상. / · 혼합 금지 조합 주의(예: 염소계+산성). 용도·주의 표기 확인. / · 계면활성제·산/알칼리 농도와 보관 안전 기준 준수.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8" customWidth="1" min="4" max="4"/>
  </cols>
  <sheetData>
    <row r="1">
      <c r="A1" s="11" t="inlineStr">
        <is>
          <t>역할</t>
        </is>
      </c>
      <c r="B1" s="11" t="inlineStr">
        <is>
          <t>원료</t>
        </is>
      </c>
      <c r="C1" s="11" t="inlineStr">
        <is>
          <t>전형/대표%</t>
        </is>
      </c>
      <c r="D1" s="11" t="inlineStr">
        <is>
          <t>구분</t>
        </is>
      </c>
    </row>
    <row r="2">
      <c r="A2" s="13" t="inlineStr">
        <is>
          <t>수상</t>
        </is>
      </c>
      <c r="B2" s="31" t="inlineStr">
        <is>
          <t>로즈워터</t>
        </is>
      </c>
      <c r="C2" s="14" t="inlineStr">
        <is>
          <t>55%</t>
        </is>
      </c>
      <c r="D2" s="14" t="inlineStr">
        <is>
          <t>천연</t>
        </is>
      </c>
    </row>
    <row r="3">
      <c r="A3" s="13" t="inlineStr">
        <is>
          <t>수상</t>
        </is>
      </c>
      <c r="B3" s="31" t="inlineStr">
        <is>
          <t>네롤리워터</t>
        </is>
      </c>
      <c r="C3" s="14" t="inlineStr">
        <is>
          <t>49%</t>
        </is>
      </c>
      <c r="D3" s="14" t="inlineStr">
        <is>
          <t>천연</t>
        </is>
      </c>
    </row>
    <row r="4">
      <c r="A4" s="13" t="inlineStr">
        <is>
          <t>수상</t>
        </is>
      </c>
      <c r="B4" s="31" t="inlineStr">
        <is>
          <t>정제수</t>
        </is>
      </c>
      <c r="C4" s="14" t="inlineStr">
        <is>
          <t>41%</t>
        </is>
      </c>
      <c r="D4" s="14" t="inlineStr">
        <is>
          <t>천연</t>
        </is>
      </c>
    </row>
    <row r="5">
      <c r="A5" s="13" t="inlineStr">
        <is>
          <t>수상</t>
        </is>
      </c>
      <c r="B5" s="31" t="inlineStr">
        <is>
          <t>라벤더워터</t>
        </is>
      </c>
      <c r="C5" s="14" t="inlineStr">
        <is>
          <t>52%</t>
        </is>
      </c>
      <c r="D5" s="14" t="inlineStr">
        <is>
          <t>천연</t>
        </is>
      </c>
    </row>
    <row r="6">
      <c r="A6" s="13" t="inlineStr">
        <is>
          <t>수상</t>
        </is>
      </c>
      <c r="B6" s="31" t="inlineStr">
        <is>
          <t>로먼캐모마일워터</t>
        </is>
      </c>
      <c r="C6" s="14" t="inlineStr">
        <is>
          <t>46%</t>
        </is>
      </c>
      <c r="D6" s="14" t="inlineStr">
        <is>
          <t>천연</t>
        </is>
      </c>
    </row>
    <row r="7">
      <c r="A7" s="13" t="inlineStr">
        <is>
          <t>수상</t>
        </is>
      </c>
      <c r="B7" s="31" t="inlineStr">
        <is>
          <t>로즈마리워터</t>
        </is>
      </c>
      <c r="C7" s="14" t="inlineStr">
        <is>
          <t>58%</t>
        </is>
      </c>
      <c r="D7" s="14" t="inlineStr">
        <is>
          <t>천연</t>
        </is>
      </c>
    </row>
    <row r="8">
      <c r="A8" s="13" t="inlineStr">
        <is>
          <t>수상</t>
        </is>
      </c>
      <c r="B8" s="31" t="inlineStr">
        <is>
          <t>워터 호호바</t>
        </is>
      </c>
      <c r="C8" s="14" t="inlineStr">
        <is>
          <t>3%</t>
        </is>
      </c>
      <c r="D8" s="14" t="inlineStr">
        <is>
          <t>천연</t>
        </is>
      </c>
    </row>
    <row r="9">
      <c r="A9" s="13" t="inlineStr">
        <is>
          <t>수상</t>
        </is>
      </c>
      <c r="B9" s="31" t="inlineStr">
        <is>
          <t>편백워터</t>
        </is>
      </c>
      <c r="C9" s="14" t="inlineStr">
        <is>
          <t>33%</t>
        </is>
      </c>
      <c r="D9" s="14" t="inlineStr">
        <is>
          <t>천연</t>
        </is>
      </c>
    </row>
    <row r="10">
      <c r="A10" s="13" t="inlineStr">
        <is>
          <t>수상</t>
        </is>
      </c>
      <c r="B10" s="31" t="inlineStr">
        <is>
          <t>워터아르간</t>
        </is>
      </c>
      <c r="C10" s="14" t="inlineStr">
        <is>
          <t>5%</t>
        </is>
      </c>
      <c r="D10" s="14" t="inlineStr">
        <is>
          <t>천연</t>
        </is>
      </c>
    </row>
    <row r="11">
      <c r="A11" s="13" t="inlineStr">
        <is>
          <t>수상</t>
        </is>
      </c>
      <c r="B11" s="31" t="inlineStr">
        <is>
          <t>워셔블클렌징리퀴드</t>
        </is>
      </c>
      <c r="C11" s="14" t="inlineStr">
        <is>
          <t>25%</t>
        </is>
      </c>
      <c r="D11" s="14" t="inlineStr">
        <is>
          <t>천연</t>
        </is>
      </c>
    </row>
    <row r="12">
      <c r="A12" s="13" t="inlineStr">
        <is>
          <t>수상</t>
        </is>
      </c>
      <c r="B12" s="31" t="inlineStr">
        <is>
          <t>워셔블 / 클렌징리퀴드</t>
        </is>
      </c>
      <c r="C12" s="14" t="inlineStr">
        <is>
          <t>25%</t>
        </is>
      </c>
      <c r="D12" s="14" t="inlineStr">
        <is>
          <t>천연</t>
        </is>
      </c>
    </row>
    <row r="13">
      <c r="A13" s="13" t="inlineStr">
        <is>
          <t>수상</t>
        </is>
      </c>
      <c r="B13" s="31" t="inlineStr">
        <is>
          <t>일랑일랑워터</t>
        </is>
      </c>
      <c r="C13" s="14" t="inlineStr">
        <is>
          <t>58%</t>
        </is>
      </c>
      <c r="D13" s="14" t="inlineStr">
        <is>
          <t>천연</t>
        </is>
      </c>
    </row>
    <row r="14">
      <c r="A14" s="15" t="inlineStr">
        <is>
          <t>유상</t>
        </is>
      </c>
      <c r="B14" s="31" t="inlineStr">
        <is>
          <t>로즈힙오일</t>
        </is>
      </c>
      <c r="C14" s="14" t="inlineStr">
        <is>
          <t>10%</t>
        </is>
      </c>
      <c r="D14" s="14" t="inlineStr">
        <is>
          <t>천연</t>
        </is>
      </c>
    </row>
    <row r="15">
      <c r="A15" s="15" t="inlineStr">
        <is>
          <t>유상</t>
        </is>
      </c>
      <c r="B15" s="31" t="inlineStr">
        <is>
          <t>시어버터</t>
        </is>
      </c>
      <c r="C15" s="14" t="inlineStr">
        <is>
          <t>9%</t>
        </is>
      </c>
      <c r="D15" s="14" t="inlineStr">
        <is>
          <t>천연</t>
        </is>
      </c>
    </row>
    <row r="16">
      <c r="A16" s="15" t="inlineStr">
        <is>
          <t>유상</t>
        </is>
      </c>
      <c r="B16" s="31" t="inlineStr">
        <is>
          <t>호호바오일</t>
        </is>
      </c>
      <c r="C16" s="14" t="inlineStr">
        <is>
          <t>15%</t>
        </is>
      </c>
      <c r="D16" s="14" t="inlineStr">
        <is>
          <t>천연</t>
        </is>
      </c>
    </row>
    <row r="17">
      <c r="A17" s="15" t="inlineStr">
        <is>
          <t>유상</t>
        </is>
      </c>
      <c r="B17" s="31" t="inlineStr">
        <is>
          <t>골든호호바오일</t>
        </is>
      </c>
      <c r="C17" s="14" t="inlineStr">
        <is>
          <t>15%</t>
        </is>
      </c>
      <c r="D17" s="14" t="inlineStr">
        <is>
          <t>천연</t>
        </is>
      </c>
    </row>
    <row r="18">
      <c r="A18" s="15" t="inlineStr">
        <is>
          <t>유상</t>
        </is>
      </c>
      <c r="B18" s="31" t="inlineStr">
        <is>
          <t>아르간오일</t>
        </is>
      </c>
      <c r="C18" s="14" t="inlineStr">
        <is>
          <t>13%</t>
        </is>
      </c>
      <c r="D18" s="14" t="inlineStr">
        <is>
          <t>천연</t>
        </is>
      </c>
    </row>
    <row r="19">
      <c r="A19" s="15" t="inlineStr">
        <is>
          <t>유상</t>
        </is>
      </c>
      <c r="B19" s="31" t="inlineStr">
        <is>
          <t>스쿠알란</t>
        </is>
      </c>
      <c r="C19" s="14" t="inlineStr">
        <is>
          <t>5%</t>
        </is>
      </c>
      <c r="D19" s="14" t="inlineStr">
        <is>
          <t>천연</t>
        </is>
      </c>
    </row>
    <row r="20">
      <c r="A20" s="15" t="inlineStr">
        <is>
          <t>유상</t>
        </is>
      </c>
      <c r="B20" s="31" t="inlineStr">
        <is>
          <t>브라이트닝 / 블렌딩오일</t>
        </is>
      </c>
      <c r="C20" s="14" t="inlineStr">
        <is>
          <t>0%</t>
        </is>
      </c>
      <c r="D20" s="14" t="inlineStr">
        <is>
          <t>천연</t>
        </is>
      </c>
    </row>
    <row r="21">
      <c r="A21" s="15" t="inlineStr">
        <is>
          <t>유상</t>
        </is>
      </c>
      <c r="B21" s="31" t="inlineStr">
        <is>
          <t>녹차씨오일</t>
        </is>
      </c>
      <c r="C21" s="14" t="inlineStr">
        <is>
          <t>25%</t>
        </is>
      </c>
      <c r="D21" s="14" t="inlineStr">
        <is>
          <t>천연</t>
        </is>
      </c>
    </row>
    <row r="22">
      <c r="A22" s="15" t="inlineStr">
        <is>
          <t>유상</t>
        </is>
      </c>
      <c r="B22" s="31" t="inlineStr">
        <is>
          <t>유기농 스쿠알란</t>
        </is>
      </c>
      <c r="C22" s="14" t="inlineStr">
        <is>
          <t>12%</t>
        </is>
      </c>
      <c r="D22" s="14" t="inlineStr">
        <is>
          <t>천연</t>
        </is>
      </c>
    </row>
    <row r="23">
      <c r="A23" s="15" t="inlineStr">
        <is>
          <t>유상</t>
        </is>
      </c>
      <c r="B23" s="31" t="inlineStr">
        <is>
          <t>유기농 / 엑스트라버진 / 코코넛오일</t>
        </is>
      </c>
      <c r="C23" s="14" t="inlineStr">
        <is>
          <t>6%</t>
        </is>
      </c>
      <c r="D23" s="14" t="inlineStr">
        <is>
          <t>천연</t>
        </is>
      </c>
    </row>
    <row r="24">
      <c r="A24" s="15" t="inlineStr">
        <is>
          <t>유상</t>
        </is>
      </c>
      <c r="B24" s="31" t="inlineStr">
        <is>
          <t>세틸알콜</t>
        </is>
      </c>
      <c r="C24" s="14" t="inlineStr">
        <is>
          <t>1%</t>
        </is>
      </c>
      <c r="D24" s="14" t="inlineStr">
        <is>
          <t>천연</t>
        </is>
      </c>
    </row>
    <row r="25">
      <c r="A25" s="15" t="inlineStr">
        <is>
          <t>유상</t>
        </is>
      </c>
      <c r="B25" s="31" t="inlineStr">
        <is>
          <t>아보카도오일</t>
        </is>
      </c>
      <c r="C25" s="14" t="inlineStr">
        <is>
          <t>12%</t>
        </is>
      </c>
      <c r="D25" s="14" t="inlineStr">
        <is>
          <t>천연</t>
        </is>
      </c>
    </row>
    <row r="26">
      <c r="A26" s="16" t="inlineStr">
        <is>
          <t>유화</t>
        </is>
      </c>
      <c r="B26" s="31" t="inlineStr">
        <is>
          <t>올리브유화왁스</t>
        </is>
      </c>
      <c r="C26" s="14" t="inlineStr">
        <is>
          <t>4%</t>
        </is>
      </c>
      <c r="D26" s="14" t="inlineStr">
        <is>
          <t>천연</t>
        </is>
      </c>
    </row>
    <row r="27">
      <c r="A27" s="16" t="inlineStr">
        <is>
          <t>유화</t>
        </is>
      </c>
      <c r="B27" s="31" t="inlineStr">
        <is>
          <t>올리브리퀴드</t>
        </is>
      </c>
      <c r="C27" s="14" t="inlineStr">
        <is>
          <t>3%</t>
        </is>
      </c>
      <c r="D27" s="14" t="inlineStr">
        <is>
          <t>천연</t>
        </is>
      </c>
    </row>
    <row r="28">
      <c r="A28" s="16" t="inlineStr">
        <is>
          <t>유화</t>
        </is>
      </c>
      <c r="B28" s="31" t="inlineStr">
        <is>
          <t>올리브상온유화제</t>
        </is>
      </c>
      <c r="C28" s="14" t="inlineStr">
        <is>
          <t>2%</t>
        </is>
      </c>
      <c r="D28" s="14" t="inlineStr">
        <is>
          <t>천연</t>
        </is>
      </c>
    </row>
    <row r="29">
      <c r="A29" s="16" t="inlineStr">
        <is>
          <t>유화</t>
        </is>
      </c>
      <c r="B29" s="31" t="inlineStr">
        <is>
          <t>GMS</t>
        </is>
      </c>
      <c r="C29" s="14" t="inlineStr">
        <is>
          <t>2%</t>
        </is>
      </c>
      <c r="D29" s="14" t="inlineStr">
        <is>
          <t>천연</t>
        </is>
      </c>
    </row>
    <row r="30">
      <c r="A30" s="16" t="inlineStr">
        <is>
          <t>유화</t>
        </is>
      </c>
      <c r="B30" s="31" t="inlineStr">
        <is>
          <t>세틸에틸헥사노에이트</t>
        </is>
      </c>
      <c r="C30" s="14" t="inlineStr">
        <is>
          <t>43%</t>
        </is>
      </c>
      <c r="D30" s="14" t="inlineStr">
        <is>
          <t>천연</t>
        </is>
      </c>
    </row>
    <row r="31">
      <c r="A31" s="16" t="inlineStr">
        <is>
          <t>유화</t>
        </is>
      </c>
      <c r="B31" s="31" t="inlineStr">
        <is>
          <t>컨디셔닝 유화제 / (BTMS)</t>
        </is>
      </c>
      <c r="C31" s="14" t="inlineStr">
        <is>
          <t>27%</t>
        </is>
      </c>
      <c r="D31" s="14" t="inlineStr">
        <is>
          <t>천연</t>
        </is>
      </c>
    </row>
    <row r="32">
      <c r="A32" s="16" t="inlineStr">
        <is>
          <t>유화</t>
        </is>
      </c>
      <c r="B32" s="31" t="inlineStr">
        <is>
          <t>이멀시파잉왁스</t>
        </is>
      </c>
      <c r="C32" s="14" t="inlineStr"/>
      <c r="D32" s="14" t="inlineStr">
        <is>
          <t>천연</t>
        </is>
      </c>
    </row>
    <row r="33">
      <c r="A33" s="16" t="inlineStr">
        <is>
          <t>유화</t>
        </is>
      </c>
      <c r="B33" s="31" t="inlineStr">
        <is>
          <t>폴리소르베이트 20</t>
        </is>
      </c>
      <c r="C33" s="14" t="inlineStr">
        <is>
          <t>29%</t>
        </is>
      </c>
      <c r="D33" s="14" t="inlineStr">
        <is>
          <t>천연</t>
        </is>
      </c>
    </row>
    <row r="34">
      <c r="A34" s="16" t="inlineStr">
        <is>
          <t>유화</t>
        </is>
      </c>
      <c r="B34" s="31" t="inlineStr">
        <is>
          <t>몬타노브68 (Cetearyl Glucoside &amp; Cetearyl Alcohol)</t>
        </is>
      </c>
      <c r="C34" s="14" t="inlineStr">
        <is>
          <t>3~5%</t>
        </is>
      </c>
      <c r="D34" s="14" t="inlineStr">
        <is>
          <t>기능성</t>
        </is>
      </c>
    </row>
    <row r="35">
      <c r="A35" s="16" t="inlineStr">
        <is>
          <t>유화</t>
        </is>
      </c>
      <c r="B35" s="31" t="inlineStr">
        <is>
          <t>올리벰1000 (Cetearyl Olivate &amp; Sorbitan Olivate)</t>
        </is>
      </c>
      <c r="C35" s="14" t="inlineStr">
        <is>
          <t>3~6%</t>
        </is>
      </c>
      <c r="D35" s="14" t="inlineStr">
        <is>
          <t>기능성</t>
        </is>
      </c>
    </row>
    <row r="36">
      <c r="A36" s="16" t="inlineStr">
        <is>
          <t>유화</t>
        </is>
      </c>
      <c r="B36" s="31" t="inlineStr">
        <is>
          <t>이멀시파잉 왁스 NF / 폴라왁스 (Cetearyl Alcohol &amp; Polysorbate60)</t>
        </is>
      </c>
      <c r="C36" s="14" t="inlineStr">
        <is>
          <t>3~6%</t>
        </is>
      </c>
      <c r="D36" s="14" t="inlineStr">
        <is>
          <t>기능성</t>
        </is>
      </c>
    </row>
    <row r="37">
      <c r="A37" s="16" t="inlineStr">
        <is>
          <t>유화</t>
        </is>
      </c>
      <c r="B37" s="31" t="inlineStr">
        <is>
          <t>GMS SE (Glyceryl Stearate SE)</t>
        </is>
      </c>
      <c r="C37" s="14" t="inlineStr">
        <is>
          <t>2~4%</t>
        </is>
      </c>
      <c r="D37" s="14" t="inlineStr">
        <is>
          <t>기능성</t>
        </is>
      </c>
    </row>
    <row r="38">
      <c r="A38" s="16" t="inlineStr">
        <is>
          <t>유화</t>
        </is>
      </c>
      <c r="B38" s="31" t="inlineStr">
        <is>
          <t>세테아릴알코올 (Cetearyl Alcohol)</t>
        </is>
      </c>
      <c r="C38" s="14" t="inlineStr">
        <is>
          <t>2~5%</t>
        </is>
      </c>
      <c r="D38" s="14" t="inlineStr">
        <is>
          <t>기능성</t>
        </is>
      </c>
    </row>
    <row r="39">
      <c r="A39" s="16" t="inlineStr">
        <is>
          <t>유화</t>
        </is>
      </c>
      <c r="B39" s="31" t="inlineStr">
        <is>
          <t>레시틴 (Lecithin)</t>
        </is>
      </c>
      <c r="C39" s="14" t="inlineStr">
        <is>
          <t>0.5~3%</t>
        </is>
      </c>
      <c r="D39" s="14" t="inlineStr">
        <is>
          <t>기능성</t>
        </is>
      </c>
    </row>
    <row r="40">
      <c r="A40" s="16" t="inlineStr">
        <is>
          <t>유화</t>
        </is>
      </c>
      <c r="B40" s="31" t="inlineStr">
        <is>
          <t>폴리소르베이트20/80 (Polysorbate)</t>
        </is>
      </c>
      <c r="C40" s="14" t="inlineStr">
        <is>
          <t>1~3%</t>
        </is>
      </c>
      <c r="D40" s="14" t="inlineStr">
        <is>
          <t>기능성</t>
        </is>
      </c>
    </row>
    <row r="41">
      <c r="A41" s="17" t="inlineStr">
        <is>
          <t>경화</t>
        </is>
      </c>
      <c r="B41" s="31" t="inlineStr">
        <is>
          <t>올리왁스LC</t>
        </is>
      </c>
      <c r="C41" s="14" t="inlineStr">
        <is>
          <t>2%</t>
        </is>
      </c>
      <c r="D41" s="14" t="inlineStr">
        <is>
          <t>천연</t>
        </is>
      </c>
    </row>
    <row r="42">
      <c r="A42" s="17" t="inlineStr">
        <is>
          <t>경화</t>
        </is>
      </c>
      <c r="B42" s="31" t="inlineStr">
        <is>
          <t>칸데릴라왁스</t>
        </is>
      </c>
      <c r="C42" s="14" t="inlineStr">
        <is>
          <t>17%</t>
        </is>
      </c>
      <c r="D42" s="14" t="inlineStr">
        <is>
          <t>천연</t>
        </is>
      </c>
    </row>
    <row r="43">
      <c r="A43" s="17" t="inlineStr">
        <is>
          <t>경화</t>
        </is>
      </c>
      <c r="B43" s="31" t="inlineStr">
        <is>
          <t>멀티밤 왁스</t>
        </is>
      </c>
      <c r="C43" s="14" t="inlineStr">
        <is>
          <t>17%</t>
        </is>
      </c>
      <c r="D43" s="14" t="inlineStr">
        <is>
          <t>천연</t>
        </is>
      </c>
    </row>
    <row r="44">
      <c r="A44" s="17" t="inlineStr">
        <is>
          <t>경화</t>
        </is>
      </c>
      <c r="B44" s="31" t="inlineStr">
        <is>
          <t>밀랍</t>
        </is>
      </c>
      <c r="C44" s="14" t="inlineStr">
        <is>
          <t>23%</t>
        </is>
      </c>
      <c r="D44" s="14" t="inlineStr">
        <is>
          <t>천연</t>
        </is>
      </c>
    </row>
    <row r="45">
      <c r="A45" s="17" t="inlineStr">
        <is>
          <t>경화</t>
        </is>
      </c>
      <c r="B45" s="31" t="inlineStr">
        <is>
          <t>비즈왁스</t>
        </is>
      </c>
      <c r="C45" s="14" t="inlineStr">
        <is>
          <t>18%</t>
        </is>
      </c>
      <c r="D45" s="14" t="inlineStr">
        <is>
          <t>천연</t>
        </is>
      </c>
    </row>
    <row r="46">
      <c r="A46" s="17" t="inlineStr">
        <is>
          <t>경화</t>
        </is>
      </c>
      <c r="B46" s="31" t="inlineStr">
        <is>
          <t>비정제밀랍</t>
        </is>
      </c>
      <c r="C46" s="14" t="inlineStr">
        <is>
          <t>27%</t>
        </is>
      </c>
      <c r="D46" s="14" t="inlineStr">
        <is>
          <t>천연</t>
        </is>
      </c>
    </row>
    <row r="47">
      <c r="A47" s="17" t="inlineStr">
        <is>
          <t>경화</t>
        </is>
      </c>
      <c r="B47" s="31" t="inlineStr">
        <is>
          <t>올리브 소프트왁스</t>
        </is>
      </c>
      <c r="C47" s="14" t="inlineStr">
        <is>
          <t>3%</t>
        </is>
      </c>
      <c r="D47" s="14" t="inlineStr">
        <is>
          <t>천연</t>
        </is>
      </c>
    </row>
    <row r="48">
      <c r="A48" s="17" t="inlineStr">
        <is>
          <t>경화</t>
        </is>
      </c>
      <c r="B48" s="31" t="inlineStr">
        <is>
          <t>에코소이왁스</t>
        </is>
      </c>
      <c r="C48" s="14" t="inlineStr">
        <is>
          <t>87%</t>
        </is>
      </c>
      <c r="D48" s="14" t="inlineStr">
        <is>
          <t>천연</t>
        </is>
      </c>
    </row>
    <row r="49">
      <c r="A49" s="17" t="inlineStr">
        <is>
          <t>경화</t>
        </is>
      </c>
      <c r="B49" s="31" t="inlineStr">
        <is>
          <t>라놀린</t>
        </is>
      </c>
      <c r="C49" s="14" t="inlineStr"/>
      <c r="D49" s="14" t="inlineStr">
        <is>
          <t>천연</t>
        </is>
      </c>
    </row>
    <row r="50">
      <c r="A50" s="17" t="inlineStr">
        <is>
          <t>경화</t>
        </is>
      </c>
      <c r="B50" s="31" t="inlineStr">
        <is>
          <t>올리브 / 소프트왁스 / ****</t>
        </is>
      </c>
      <c r="C50" s="14" t="inlineStr">
        <is>
          <t>4%</t>
        </is>
      </c>
      <c r="D50" s="14" t="inlineStr">
        <is>
          <t>천연</t>
        </is>
      </c>
    </row>
    <row r="51">
      <c r="A51" s="17" t="inlineStr">
        <is>
          <t>경화</t>
        </is>
      </c>
      <c r="B51" s="31" t="inlineStr">
        <is>
          <t>유기농비즈왁스</t>
        </is>
      </c>
      <c r="C51" s="14" t="inlineStr">
        <is>
          <t>22%</t>
        </is>
      </c>
      <c r="D51" s="14" t="inlineStr">
        <is>
          <t>천연</t>
        </is>
      </c>
    </row>
    <row r="52">
      <c r="A52" s="18" t="inlineStr">
        <is>
          <t>계면</t>
        </is>
      </c>
      <c r="B52" s="31" t="inlineStr">
        <is>
          <t>애플계면활성제</t>
        </is>
      </c>
      <c r="C52" s="14" t="inlineStr">
        <is>
          <t>21%</t>
        </is>
      </c>
      <c r="D52" s="14" t="inlineStr">
        <is>
          <t>천연</t>
        </is>
      </c>
    </row>
    <row r="53">
      <c r="A53" s="18" t="inlineStr">
        <is>
          <t>계면</t>
        </is>
      </c>
      <c r="B53" s="31" t="inlineStr">
        <is>
          <t>허브누리 순한 / 샴푸베이스</t>
        </is>
      </c>
      <c r="C53" s="14" t="inlineStr">
        <is>
          <t>87%</t>
        </is>
      </c>
      <c r="D53" s="14" t="inlineStr">
        <is>
          <t>천연</t>
        </is>
      </c>
    </row>
    <row r="54">
      <c r="A54" s="18" t="inlineStr">
        <is>
          <t>계면</t>
        </is>
      </c>
      <c r="B54" s="31" t="inlineStr">
        <is>
          <t>데실글루코사이드</t>
        </is>
      </c>
      <c r="C54" s="14" t="inlineStr">
        <is>
          <t>17%</t>
        </is>
      </c>
      <c r="D54" s="14" t="inlineStr">
        <is>
          <t>천연</t>
        </is>
      </c>
    </row>
    <row r="55">
      <c r="A55" s="18" t="inlineStr">
        <is>
          <t>계면</t>
        </is>
      </c>
      <c r="B55" s="31" t="inlineStr">
        <is>
          <t>LES</t>
        </is>
      </c>
      <c r="C55" s="14" t="inlineStr">
        <is>
          <t>16%</t>
        </is>
      </c>
      <c r="D55" s="14" t="inlineStr">
        <is>
          <t>천연</t>
        </is>
      </c>
    </row>
    <row r="56">
      <c r="A56" s="18" t="inlineStr">
        <is>
          <t>계면</t>
        </is>
      </c>
      <c r="B56" s="31" t="inlineStr">
        <is>
          <t>SLSA</t>
        </is>
      </c>
      <c r="C56" s="14" t="inlineStr">
        <is>
          <t>6%</t>
        </is>
      </c>
      <c r="D56" s="14" t="inlineStr">
        <is>
          <t>천연</t>
        </is>
      </c>
    </row>
    <row r="57">
      <c r="A57" s="18" t="inlineStr">
        <is>
          <t>계면</t>
        </is>
      </c>
      <c r="B57" s="31" t="inlineStr">
        <is>
          <t>병풀 약산성 비누베이스</t>
        </is>
      </c>
      <c r="C57" s="14" t="inlineStr">
        <is>
          <t>92%</t>
        </is>
      </c>
      <c r="D57" s="14" t="inlineStr">
        <is>
          <t>천연</t>
        </is>
      </c>
    </row>
    <row r="58">
      <c r="A58" s="18" t="inlineStr">
        <is>
          <t>계면</t>
        </is>
      </c>
      <c r="B58" s="31" t="inlineStr">
        <is>
          <t>코카미도프로필베타인</t>
        </is>
      </c>
      <c r="C58" s="14" t="inlineStr"/>
      <c r="D58" s="14" t="inlineStr">
        <is>
          <t>천연</t>
        </is>
      </c>
    </row>
    <row r="59">
      <c r="A59" s="18" t="inlineStr">
        <is>
          <t>계면</t>
        </is>
      </c>
      <c r="B59" s="31" t="inlineStr">
        <is>
          <t>코코베타인</t>
        </is>
      </c>
      <c r="C59" s="14" t="inlineStr">
        <is>
          <t>29%</t>
        </is>
      </c>
      <c r="D59" s="14" t="inlineStr">
        <is>
          <t>천연</t>
        </is>
      </c>
    </row>
    <row r="60">
      <c r="A60" s="18" t="inlineStr">
        <is>
          <t>계면</t>
        </is>
      </c>
      <c r="B60" s="31" t="inlineStr">
        <is>
          <t>허브누리's / 아주 순한 폼클렌징베이스</t>
        </is>
      </c>
      <c r="C60" s="14" t="inlineStr">
        <is>
          <t>86%</t>
        </is>
      </c>
      <c r="D60" s="14" t="inlineStr">
        <is>
          <t>천연</t>
        </is>
      </c>
    </row>
    <row r="61">
      <c r="A61" s="18" t="inlineStr">
        <is>
          <t>계면</t>
        </is>
      </c>
      <c r="B61" s="31" t="inlineStr">
        <is>
          <t>허브누리's 아주 순한 / 폼클렌징베이스</t>
        </is>
      </c>
      <c r="C61" s="14" t="inlineStr">
        <is>
          <t>77%</t>
        </is>
      </c>
      <c r="D61" s="14" t="inlineStr">
        <is>
          <t>천연</t>
        </is>
      </c>
    </row>
    <row r="62">
      <c r="A62" s="18" t="inlineStr">
        <is>
          <t>계면</t>
        </is>
      </c>
      <c r="B62" s="31" t="inlineStr">
        <is>
          <t>허브누리의 아주 순한 / 베이비/민감 / 샴푸베이스</t>
        </is>
      </c>
      <c r="C62" s="14" t="inlineStr">
        <is>
          <t>77%</t>
        </is>
      </c>
      <c r="D62" s="14" t="inlineStr">
        <is>
          <t>천연</t>
        </is>
      </c>
    </row>
    <row r="63">
      <c r="A63" s="18" t="inlineStr">
        <is>
          <t>계면</t>
        </is>
      </c>
      <c r="B63" s="31" t="inlineStr">
        <is>
          <t>코코-베타인</t>
        </is>
      </c>
      <c r="C63" s="14" t="inlineStr">
        <is>
          <t>14%</t>
        </is>
      </c>
      <c r="D63" s="14" t="inlineStr">
        <is>
          <t>천연</t>
        </is>
      </c>
    </row>
    <row r="64">
      <c r="A64" s="19" t="inlineStr">
        <is>
          <t>보습</t>
        </is>
      </c>
      <c r="B64" s="31" t="inlineStr">
        <is>
          <t>식물성 글리세린</t>
        </is>
      </c>
      <c r="C64" s="14" t="inlineStr">
        <is>
          <t>4%</t>
        </is>
      </c>
      <c r="D64" s="14" t="inlineStr">
        <is>
          <t>천연</t>
        </is>
      </c>
    </row>
    <row r="65">
      <c r="A65" s="19" t="inlineStr">
        <is>
          <t>보습</t>
        </is>
      </c>
      <c r="B65" s="31" t="inlineStr">
        <is>
          <t>1,2 헥산디올</t>
        </is>
      </c>
      <c r="C65" s="14" t="inlineStr">
        <is>
          <t>2%</t>
        </is>
      </c>
      <c r="D65" s="14" t="inlineStr">
        <is>
          <t>천연</t>
        </is>
      </c>
    </row>
    <row r="66">
      <c r="A66" s="19" t="inlineStr">
        <is>
          <t>보습</t>
        </is>
      </c>
      <c r="B66" s="31" t="inlineStr">
        <is>
          <t>글리세린</t>
        </is>
      </c>
      <c r="C66" s="14" t="inlineStr">
        <is>
          <t>4%</t>
        </is>
      </c>
      <c r="D66" s="14" t="inlineStr">
        <is>
          <t>천연</t>
        </is>
      </c>
    </row>
    <row r="67">
      <c r="A67" s="19" t="inlineStr">
        <is>
          <t>보습</t>
        </is>
      </c>
      <c r="B67" s="31" t="inlineStr">
        <is>
          <t>소듐하이알루로네이트(히알루론산)</t>
        </is>
      </c>
      <c r="C67" s="14" t="inlineStr"/>
      <c r="D67" s="14" t="inlineStr">
        <is>
          <t>천연</t>
        </is>
      </c>
    </row>
    <row r="68">
      <c r="A68" s="19" t="inlineStr">
        <is>
          <t>보습</t>
        </is>
      </c>
      <c r="B68" s="31" t="inlineStr">
        <is>
          <t>에코 보습제</t>
        </is>
      </c>
      <c r="C68" s="14" t="inlineStr">
        <is>
          <t>5%</t>
        </is>
      </c>
      <c r="D68" s="14" t="inlineStr">
        <is>
          <t>천연</t>
        </is>
      </c>
    </row>
    <row r="69">
      <c r="A69" s="19" t="inlineStr">
        <is>
          <t>보습</t>
        </is>
      </c>
      <c r="B69" s="31" t="inlineStr">
        <is>
          <t>헥산디올</t>
        </is>
      </c>
      <c r="C69" s="14" t="inlineStr">
        <is>
          <t>2%</t>
        </is>
      </c>
      <c r="D69" s="14" t="inlineStr">
        <is>
          <t>천연</t>
        </is>
      </c>
    </row>
    <row r="70">
      <c r="A70" s="19" t="inlineStr">
        <is>
          <t>보습</t>
        </is>
      </c>
      <c r="B70" s="31" t="inlineStr">
        <is>
          <t>베타글루칸</t>
        </is>
      </c>
      <c r="C70" s="14" t="inlineStr">
        <is>
          <t>5%</t>
        </is>
      </c>
      <c r="D70" s="14" t="inlineStr">
        <is>
          <t>천연</t>
        </is>
      </c>
    </row>
    <row r="71">
      <c r="A71" s="19" t="inlineStr">
        <is>
          <t>보습</t>
        </is>
      </c>
      <c r="B71" s="31" t="inlineStr">
        <is>
          <t>자일리톨</t>
        </is>
      </c>
      <c r="C71" s="14" t="inlineStr">
        <is>
          <t>16%</t>
        </is>
      </c>
      <c r="D71" s="14" t="inlineStr">
        <is>
          <t>천연</t>
        </is>
      </c>
    </row>
    <row r="72">
      <c r="A72" s="19" t="inlineStr">
        <is>
          <t>보습</t>
        </is>
      </c>
      <c r="B72" s="31" t="inlineStr">
        <is>
          <t>하이드로에칠 / 우레아</t>
        </is>
      </c>
      <c r="C72" s="14" t="inlineStr">
        <is>
          <t>42%</t>
        </is>
      </c>
      <c r="D72" s="14" t="inlineStr">
        <is>
          <t>천연</t>
        </is>
      </c>
    </row>
    <row r="73">
      <c r="A73" s="19" t="inlineStr">
        <is>
          <t>보습</t>
        </is>
      </c>
      <c r="B73" s="31" t="inlineStr">
        <is>
          <t>1,2 헥산 다이올</t>
        </is>
      </c>
      <c r="C73" s="14" t="inlineStr">
        <is>
          <t>2%</t>
        </is>
      </c>
      <c r="D73" s="14" t="inlineStr">
        <is>
          <t>천연</t>
        </is>
      </c>
    </row>
    <row r="74">
      <c r="A74" s="19" t="inlineStr">
        <is>
          <t>보습</t>
        </is>
      </c>
      <c r="B74" s="31" t="inlineStr">
        <is>
          <t>우레아</t>
        </is>
      </c>
      <c r="C74" s="14" t="inlineStr">
        <is>
          <t>11%</t>
        </is>
      </c>
      <c r="D74" s="14" t="inlineStr">
        <is>
          <t>천연</t>
        </is>
      </c>
    </row>
    <row r="75">
      <c r="A75" s="19" t="inlineStr">
        <is>
          <t>보습</t>
        </is>
      </c>
      <c r="B75" s="31" t="inlineStr">
        <is>
          <t>1.2-헥산디올</t>
        </is>
      </c>
      <c r="C75" s="14" t="inlineStr">
        <is>
          <t>4%</t>
        </is>
      </c>
      <c r="D75" s="14" t="inlineStr">
        <is>
          <t>천연</t>
        </is>
      </c>
    </row>
    <row r="76">
      <c r="A76" s="20" t="inlineStr">
        <is>
          <t>활성</t>
        </is>
      </c>
      <c r="B76" s="31" t="inlineStr">
        <is>
          <t>나이아신아마이드</t>
        </is>
      </c>
      <c r="C76" s="14" t="inlineStr">
        <is>
          <t>3%</t>
        </is>
      </c>
      <c r="D76" s="14" t="inlineStr">
        <is>
          <t>천연</t>
        </is>
      </c>
    </row>
    <row r="77">
      <c r="A77" s="20" t="inlineStr">
        <is>
          <t>활성</t>
        </is>
      </c>
      <c r="B77" s="31" t="inlineStr">
        <is>
          <t>세라마이드</t>
        </is>
      </c>
      <c r="C77" s="14" t="inlineStr">
        <is>
          <t>5%</t>
        </is>
      </c>
      <c r="D77" s="14" t="inlineStr">
        <is>
          <t>천연</t>
        </is>
      </c>
    </row>
    <row r="78">
      <c r="A78" s="20" t="inlineStr">
        <is>
          <t>활성</t>
        </is>
      </c>
      <c r="B78" s="31" t="inlineStr">
        <is>
          <t>히아루론산</t>
        </is>
      </c>
      <c r="C78" s="14" t="inlineStr">
        <is>
          <t>5%</t>
        </is>
      </c>
      <c r="D78" s="14" t="inlineStr">
        <is>
          <t>천연</t>
        </is>
      </c>
    </row>
    <row r="79">
      <c r="A79" s="20" t="inlineStr">
        <is>
          <t>활성</t>
        </is>
      </c>
      <c r="B79" s="31" t="inlineStr">
        <is>
          <t>로즈플라워겔</t>
        </is>
      </c>
      <c r="C79" s="14" t="inlineStr">
        <is>
          <t>40%</t>
        </is>
      </c>
      <c r="D79" s="14" t="inlineStr">
        <is>
          <t>천연</t>
        </is>
      </c>
    </row>
    <row r="80">
      <c r="A80" s="20" t="inlineStr">
        <is>
          <t>활성</t>
        </is>
      </c>
      <c r="B80" s="31" t="inlineStr">
        <is>
          <t>판테놀</t>
        </is>
      </c>
      <c r="C80" s="14" t="inlineStr">
        <is>
          <t>5%</t>
        </is>
      </c>
      <c r="D80" s="14" t="inlineStr">
        <is>
          <t>천연</t>
        </is>
      </c>
    </row>
    <row r="81">
      <c r="A81" s="20" t="inlineStr">
        <is>
          <t>활성</t>
        </is>
      </c>
      <c r="B81" s="31" t="inlineStr">
        <is>
          <t>허브누리 / 순한 샴푸베이스</t>
        </is>
      </c>
      <c r="C81" s="14" t="inlineStr">
        <is>
          <t>50%</t>
        </is>
      </c>
      <c r="D81" s="14" t="inlineStr">
        <is>
          <t>천연</t>
        </is>
      </c>
    </row>
    <row r="82">
      <c r="A82" s="20" t="inlineStr">
        <is>
          <t>활성</t>
        </is>
      </c>
      <c r="B82" s="31" t="inlineStr">
        <is>
          <t>시카 판테놀 / 바디&amp;핸드 로션베이스</t>
        </is>
      </c>
      <c r="C82" s="14" t="inlineStr">
        <is>
          <t>80%</t>
        </is>
      </c>
      <c r="D82" s="14" t="inlineStr">
        <is>
          <t>천연</t>
        </is>
      </c>
    </row>
    <row r="83">
      <c r="A83" s="20" t="inlineStr">
        <is>
          <t>활성</t>
        </is>
      </c>
      <c r="B83" s="31" t="inlineStr">
        <is>
          <t>알란토인(액상)</t>
        </is>
      </c>
      <c r="C83" s="14" t="inlineStr">
        <is>
          <t>5%</t>
        </is>
      </c>
      <c r="D83" s="14" t="inlineStr">
        <is>
          <t>천연</t>
        </is>
      </c>
    </row>
    <row r="84">
      <c r="A84" s="20" t="inlineStr">
        <is>
          <t>활성</t>
        </is>
      </c>
      <c r="B84" s="31" t="inlineStr">
        <is>
          <t>다중히아루론산</t>
        </is>
      </c>
      <c r="C84" s="14" t="inlineStr">
        <is>
          <t>5%</t>
        </is>
      </c>
      <c r="D84" s="14" t="inlineStr">
        <is>
          <t>천연</t>
        </is>
      </c>
    </row>
    <row r="85">
      <c r="A85" s="20" t="inlineStr">
        <is>
          <t>활성</t>
        </is>
      </c>
      <c r="B85" s="31" t="inlineStr">
        <is>
          <t>프로바이오틱스3</t>
        </is>
      </c>
      <c r="C85" s="14" t="inlineStr">
        <is>
          <t>10%</t>
        </is>
      </c>
      <c r="D85" s="14" t="inlineStr">
        <is>
          <t>천연</t>
        </is>
      </c>
    </row>
    <row r="86">
      <c r="A86" s="20" t="inlineStr">
        <is>
          <t>활성</t>
        </is>
      </c>
      <c r="B86" s="31" t="inlineStr">
        <is>
          <t>리피듀어</t>
        </is>
      </c>
      <c r="C86" s="14" t="inlineStr">
        <is>
          <t>5%</t>
        </is>
      </c>
      <c r="D86" s="14" t="inlineStr">
        <is>
          <t>천연</t>
        </is>
      </c>
    </row>
    <row r="87">
      <c r="A87" s="20" t="inlineStr">
        <is>
          <t>활성</t>
        </is>
      </c>
      <c r="B87" s="31" t="inlineStr">
        <is>
          <t>덱스판테놀</t>
        </is>
      </c>
      <c r="C87" s="14" t="inlineStr">
        <is>
          <t>2%</t>
        </is>
      </c>
      <c r="D87" s="14" t="inlineStr">
        <is>
          <t>천연</t>
        </is>
      </c>
    </row>
    <row r="88">
      <c r="A88" s="20" t="inlineStr">
        <is>
          <t>활성</t>
        </is>
      </c>
      <c r="B88" s="31" t="inlineStr">
        <is>
          <t>나이아신아마이드 (Niacinamide, B3)</t>
        </is>
      </c>
      <c r="C88" s="14" t="inlineStr">
        <is>
          <t>2~5%</t>
        </is>
      </c>
      <c r="D88" s="14" t="inlineStr">
        <is>
          <t>기능성</t>
        </is>
      </c>
    </row>
    <row r="89">
      <c r="A89" s="20" t="inlineStr">
        <is>
          <t>활성</t>
        </is>
      </c>
      <c r="B89" s="31" t="inlineStr">
        <is>
          <t>비타민C 유도체 (Ascorbyl Glucoside/SAP/EAC)</t>
        </is>
      </c>
      <c r="C89" s="14" t="inlineStr">
        <is>
          <t>0.5~2%</t>
        </is>
      </c>
      <c r="D89" s="14" t="inlineStr">
        <is>
          <t>기능성</t>
        </is>
      </c>
    </row>
    <row r="90">
      <c r="A90" s="20" t="inlineStr">
        <is>
          <t>활성</t>
        </is>
      </c>
      <c r="B90" s="31" t="inlineStr">
        <is>
          <t>레티놀 / 레티날 (Retinol)</t>
        </is>
      </c>
      <c r="C90" s="14" t="inlineStr">
        <is>
          <t>0.1~1%(캡슐)</t>
        </is>
      </c>
      <c r="D90" s="14" t="inlineStr">
        <is>
          <t>기능성</t>
        </is>
      </c>
    </row>
    <row r="91">
      <c r="A91" s="20" t="inlineStr">
        <is>
          <t>활성</t>
        </is>
      </c>
      <c r="B91" s="31" t="inlineStr">
        <is>
          <t>펩타이드 (Matrixyl 등 Palmitoyl peptides)</t>
        </is>
      </c>
      <c r="C91" s="14" t="inlineStr">
        <is>
          <t>2~5%(원료)</t>
        </is>
      </c>
      <c r="D91" s="14" t="inlineStr">
        <is>
          <t>기능성</t>
        </is>
      </c>
    </row>
    <row r="92">
      <c r="A92" s="20" t="inlineStr">
        <is>
          <t>활성</t>
        </is>
      </c>
      <c r="B92" s="31" t="inlineStr">
        <is>
          <t>판테놀 (Panthenol, B5)</t>
        </is>
      </c>
      <c r="C92" s="14" t="inlineStr">
        <is>
          <t>1~5%</t>
        </is>
      </c>
      <c r="D92" s="14" t="inlineStr">
        <is>
          <t>기능성</t>
        </is>
      </c>
    </row>
    <row r="93">
      <c r="A93" s="20" t="inlineStr">
        <is>
          <t>활성</t>
        </is>
      </c>
      <c r="B93" s="31" t="inlineStr">
        <is>
          <t>알란토인 (Allantoin)</t>
        </is>
      </c>
      <c r="C93" s="14" t="inlineStr">
        <is>
          <t>0.1~0.5%</t>
        </is>
      </c>
      <c r="D93" s="14" t="inlineStr">
        <is>
          <t>기능성</t>
        </is>
      </c>
    </row>
    <row r="94">
      <c r="A94" s="20" t="inlineStr">
        <is>
          <t>활성</t>
        </is>
      </c>
      <c r="B94" s="31" t="inlineStr">
        <is>
          <t>아데노신 (Adenosine)</t>
        </is>
      </c>
      <c r="C94" s="14" t="inlineStr">
        <is>
          <t>0.04%</t>
        </is>
      </c>
      <c r="D94" s="14" t="inlineStr">
        <is>
          <t>기능성</t>
        </is>
      </c>
    </row>
    <row r="95">
      <c r="A95" s="20" t="inlineStr">
        <is>
          <t>활성</t>
        </is>
      </c>
      <c r="B95" s="31" t="inlineStr">
        <is>
          <t>살리실산 (BHA, Salicylic Acid)</t>
        </is>
      </c>
      <c r="C95" s="14" t="inlineStr">
        <is>
          <t>0.5~2%</t>
        </is>
      </c>
      <c r="D95" s="14" t="inlineStr">
        <is>
          <t>기능성</t>
        </is>
      </c>
    </row>
    <row r="96">
      <c r="A96" s="20" t="inlineStr">
        <is>
          <t>활성</t>
        </is>
      </c>
      <c r="B96" s="31" t="inlineStr">
        <is>
          <t>아연 PCA / 나이아신 (피지조절)</t>
        </is>
      </c>
      <c r="C96" s="14" t="inlineStr">
        <is>
          <t>0.1~1%</t>
        </is>
      </c>
      <c r="D96" s="14" t="inlineStr">
        <is>
          <t>기능성</t>
        </is>
      </c>
    </row>
    <row r="97">
      <c r="A97" s="21" t="inlineStr">
        <is>
          <t>향</t>
        </is>
      </c>
      <c r="B97" s="31" t="inlineStr">
        <is>
          <t>라벤더에센셜오일</t>
        </is>
      </c>
      <c r="C97" s="14" t="inlineStr">
        <is>
          <t>1%</t>
        </is>
      </c>
      <c r="D97" s="14" t="inlineStr">
        <is>
          <t>천연</t>
        </is>
      </c>
    </row>
    <row r="98">
      <c r="A98" s="21" t="inlineStr">
        <is>
          <t>향</t>
        </is>
      </c>
      <c r="B98" s="31" t="inlineStr">
        <is>
          <t>레몬 에센셜오일</t>
        </is>
      </c>
      <c r="C98" s="14" t="inlineStr">
        <is>
          <t>1%</t>
        </is>
      </c>
      <c r="D98" s="14" t="inlineStr">
        <is>
          <t>천연</t>
        </is>
      </c>
    </row>
    <row r="99">
      <c r="A99" s="21" t="inlineStr">
        <is>
          <t>향</t>
        </is>
      </c>
      <c r="B99" s="31" t="inlineStr">
        <is>
          <t>로즈제라늄EO</t>
        </is>
      </c>
      <c r="C99" s="14" t="inlineStr">
        <is>
          <t>0%</t>
        </is>
      </c>
      <c r="D99" s="14" t="inlineStr">
        <is>
          <t>천연</t>
        </is>
      </c>
    </row>
    <row r="100">
      <c r="A100" s="21" t="inlineStr">
        <is>
          <t>향</t>
        </is>
      </c>
      <c r="B100" s="31" t="inlineStr">
        <is>
          <t>네롤리에센셜오일</t>
        </is>
      </c>
      <c r="C100" s="14" t="inlineStr">
        <is>
          <t>0%</t>
        </is>
      </c>
      <c r="D100" s="14" t="inlineStr">
        <is>
          <t>천연</t>
        </is>
      </c>
    </row>
    <row r="101">
      <c r="A101" s="21" t="inlineStr">
        <is>
          <t>향</t>
        </is>
      </c>
      <c r="B101" s="31" t="inlineStr">
        <is>
          <t>버가못FCF / 에센셜오일</t>
        </is>
      </c>
      <c r="C101" s="14" t="inlineStr">
        <is>
          <t>0%</t>
        </is>
      </c>
      <c r="D101" s="14" t="inlineStr">
        <is>
          <t>천연</t>
        </is>
      </c>
    </row>
    <row r="102">
      <c r="A102" s="21" t="inlineStr">
        <is>
          <t>향</t>
        </is>
      </c>
      <c r="B102" s="31" t="inlineStr">
        <is>
          <t>만다린EO</t>
        </is>
      </c>
      <c r="C102" s="14" t="inlineStr">
        <is>
          <t>1%</t>
        </is>
      </c>
      <c r="D102" s="14" t="inlineStr">
        <is>
          <t>천연</t>
        </is>
      </c>
    </row>
    <row r="103">
      <c r="A103" s="21" t="inlineStr">
        <is>
          <t>향</t>
        </is>
      </c>
      <c r="B103" s="31" t="inlineStr">
        <is>
          <t>만다린에센셜오일</t>
        </is>
      </c>
      <c r="C103" s="14" t="inlineStr">
        <is>
          <t>1%</t>
        </is>
      </c>
      <c r="D103" s="14" t="inlineStr">
        <is>
          <t>천연</t>
        </is>
      </c>
    </row>
    <row r="104">
      <c r="A104" s="21" t="inlineStr">
        <is>
          <t>향</t>
        </is>
      </c>
      <c r="B104" s="31" t="inlineStr">
        <is>
          <t>오렌지에센셜오일</t>
        </is>
      </c>
      <c r="C104" s="14" t="inlineStr">
        <is>
          <t>0%</t>
        </is>
      </c>
      <c r="D104" s="14" t="inlineStr">
        <is>
          <t>천연</t>
        </is>
      </c>
    </row>
    <row r="105">
      <c r="A105" s="21" t="inlineStr">
        <is>
          <t>향</t>
        </is>
      </c>
      <c r="B105" s="31" t="inlineStr">
        <is>
          <t>일랑일랑EO</t>
        </is>
      </c>
      <c r="C105" s="14" t="inlineStr">
        <is>
          <t>0%</t>
        </is>
      </c>
      <c r="D105" s="14" t="inlineStr">
        <is>
          <t>천연</t>
        </is>
      </c>
    </row>
    <row r="106">
      <c r="A106" s="21" t="inlineStr">
        <is>
          <t>향</t>
        </is>
      </c>
      <c r="B106" s="31" t="inlineStr">
        <is>
          <t>에센셜오일</t>
        </is>
      </c>
      <c r="C106" s="14" t="inlineStr">
        <is>
          <t>2%</t>
        </is>
      </c>
      <c r="D106" s="14" t="inlineStr">
        <is>
          <t>천연</t>
        </is>
      </c>
    </row>
    <row r="107">
      <c r="A107" s="21" t="inlineStr">
        <is>
          <t>향</t>
        </is>
      </c>
      <c r="B107" s="31" t="inlineStr">
        <is>
          <t>버가못 에센셜오일(FCF)</t>
        </is>
      </c>
      <c r="C107" s="14" t="inlineStr">
        <is>
          <t>1%</t>
        </is>
      </c>
      <c r="D107" s="14" t="inlineStr">
        <is>
          <t>천연</t>
        </is>
      </c>
    </row>
    <row r="108">
      <c r="A108" s="21" t="inlineStr">
        <is>
          <t>향</t>
        </is>
      </c>
      <c r="B108" s="31" t="inlineStr">
        <is>
          <t>로즈제라늄 / 에센셜오일</t>
        </is>
      </c>
      <c r="C108" s="14" t="inlineStr">
        <is>
          <t>0%</t>
        </is>
      </c>
      <c r="D108" s="14" t="inlineStr">
        <is>
          <t>천연</t>
        </is>
      </c>
    </row>
    <row r="109">
      <c r="A109" s="22" t="inlineStr">
        <is>
          <t>색소</t>
        </is>
      </c>
      <c r="B109" s="31" t="inlineStr">
        <is>
          <t>티타늄디옥사이드 / 분산액</t>
        </is>
      </c>
      <c r="C109" s="14" t="inlineStr">
        <is>
          <t>5%</t>
        </is>
      </c>
      <c r="D109" s="14" t="inlineStr">
        <is>
          <t>천연</t>
        </is>
      </c>
    </row>
    <row r="110">
      <c r="A110" s="22" t="inlineStr">
        <is>
          <t>색소</t>
        </is>
      </c>
      <c r="B110" s="31" t="inlineStr">
        <is>
          <t>징크옥사이드분산액</t>
        </is>
      </c>
      <c r="C110" s="14" t="inlineStr">
        <is>
          <t>10%</t>
        </is>
      </c>
      <c r="D110" s="14" t="inlineStr">
        <is>
          <t>천연</t>
        </is>
      </c>
    </row>
    <row r="111">
      <c r="A111" s="22" t="inlineStr">
        <is>
          <t>색소</t>
        </is>
      </c>
      <c r="B111" s="31" t="inlineStr">
        <is>
          <t>실버펄</t>
        </is>
      </c>
      <c r="C111" s="14" t="inlineStr">
        <is>
          <t>2%</t>
        </is>
      </c>
      <c r="D111" s="14" t="inlineStr">
        <is>
          <t>천연</t>
        </is>
      </c>
    </row>
    <row r="112">
      <c r="A112" s="22" t="inlineStr">
        <is>
          <t>색소</t>
        </is>
      </c>
      <c r="B112" s="31" t="inlineStr">
        <is>
          <t>칼라믹스 / 파운데이션</t>
        </is>
      </c>
      <c r="C112" s="14" t="inlineStr">
        <is>
          <t>12%</t>
        </is>
      </c>
      <c r="D112" s="14" t="inlineStr">
        <is>
          <t>천연</t>
        </is>
      </c>
    </row>
    <row r="113">
      <c r="A113" s="22" t="inlineStr">
        <is>
          <t>색소</t>
        </is>
      </c>
      <c r="B113" s="31" t="inlineStr">
        <is>
          <t>히말라아 핑크솔트 / (굵은 소금)</t>
        </is>
      </c>
      <c r="C113" s="14" t="inlineStr">
        <is>
          <t>49%</t>
        </is>
      </c>
      <c r="D113" s="14" t="inlineStr">
        <is>
          <t>천연</t>
        </is>
      </c>
    </row>
    <row r="114">
      <c r="A114" s="22" t="inlineStr">
        <is>
          <t>색소</t>
        </is>
      </c>
      <c r="B114" s="31" t="inlineStr">
        <is>
          <t>티타늄디옥사이드 분산액</t>
        </is>
      </c>
      <c r="C114" s="14" t="inlineStr">
        <is>
          <t>6%</t>
        </is>
      </c>
      <c r="D114" s="14" t="inlineStr">
        <is>
          <t>천연</t>
        </is>
      </c>
    </row>
    <row r="115">
      <c r="A115" s="22" t="inlineStr">
        <is>
          <t>색소</t>
        </is>
      </c>
      <c r="B115" s="31" t="inlineStr">
        <is>
          <t>자초</t>
        </is>
      </c>
      <c r="C115" s="14" t="inlineStr"/>
      <c r="D115" s="14" t="inlineStr">
        <is>
          <t>천연</t>
        </is>
      </c>
    </row>
    <row r="116">
      <c r="A116" s="22" t="inlineStr">
        <is>
          <t>색소</t>
        </is>
      </c>
      <c r="B116" s="31" t="inlineStr">
        <is>
          <t>컬러믹스 / 파운데이션</t>
        </is>
      </c>
      <c r="C116" s="14" t="inlineStr">
        <is>
          <t>13%</t>
        </is>
      </c>
      <c r="D116" s="14" t="inlineStr">
        <is>
          <t>천연</t>
        </is>
      </c>
    </row>
    <row r="117">
      <c r="A117" s="22" t="inlineStr">
        <is>
          <t>색소</t>
        </is>
      </c>
      <c r="B117" s="31" t="inlineStr">
        <is>
          <t>빨강 식용 색소</t>
        </is>
      </c>
      <c r="C117" s="14" t="inlineStr">
        <is>
          <t>0%</t>
        </is>
      </c>
      <c r="D117" s="14" t="inlineStr">
        <is>
          <t>천연</t>
        </is>
      </c>
    </row>
    <row r="118">
      <c r="A118" s="22" t="inlineStr">
        <is>
          <t>색소</t>
        </is>
      </c>
      <c r="B118" s="31" t="inlineStr">
        <is>
          <t>징크옥사이드 / 수용성 분산액</t>
        </is>
      </c>
      <c r="C118" s="14" t="inlineStr">
        <is>
          <t>8%</t>
        </is>
      </c>
      <c r="D118" s="14" t="inlineStr">
        <is>
          <t>천연</t>
        </is>
      </c>
    </row>
    <row r="119">
      <c r="A119" s="22" t="inlineStr">
        <is>
          <t>색소</t>
        </is>
      </c>
      <c r="B119" s="31" t="inlineStr">
        <is>
          <t>비누용 색소</t>
        </is>
      </c>
      <c r="C119" s="14" t="inlineStr">
        <is>
          <t>10%</t>
        </is>
      </c>
      <c r="D119" s="14" t="inlineStr">
        <is>
          <t>천연</t>
        </is>
      </c>
    </row>
    <row r="120">
      <c r="A120" s="22" t="inlineStr">
        <is>
          <t>색소</t>
        </is>
      </c>
      <c r="B120" s="31" t="inlineStr">
        <is>
          <t>핑크클레이</t>
        </is>
      </c>
      <c r="C120" s="14" t="inlineStr"/>
      <c r="D120" s="14" t="inlineStr">
        <is>
          <t>천연</t>
        </is>
      </c>
    </row>
    <row r="121">
      <c r="A121" s="23" t="inlineStr">
        <is>
          <t>방부</t>
        </is>
      </c>
      <c r="B121" s="31" t="inlineStr">
        <is>
          <t>천연한방보존제</t>
        </is>
      </c>
      <c r="C121" s="14" t="inlineStr">
        <is>
          <t>1%</t>
        </is>
      </c>
      <c r="D121" s="14" t="inlineStr">
        <is>
          <t>천연</t>
        </is>
      </c>
    </row>
    <row r="122">
      <c r="A122" s="23" t="inlineStr">
        <is>
          <t>방부</t>
        </is>
      </c>
      <c r="B122" s="31" t="inlineStr">
        <is>
          <t>1,2-헥산디올</t>
        </is>
      </c>
      <c r="C122" s="14" t="inlineStr">
        <is>
          <t>2%</t>
        </is>
      </c>
      <c r="D122" s="14" t="inlineStr">
        <is>
          <t>천연</t>
        </is>
      </c>
    </row>
    <row r="123">
      <c r="A123" s="23" t="inlineStr">
        <is>
          <t>방부</t>
        </is>
      </c>
      <c r="B123" s="31" t="inlineStr">
        <is>
          <t>토코페롤</t>
        </is>
      </c>
      <c r="C123" s="14" t="inlineStr"/>
      <c r="D123" s="14" t="inlineStr">
        <is>
          <t>천연</t>
        </is>
      </c>
    </row>
    <row r="124">
      <c r="A124" s="23" t="inlineStr">
        <is>
          <t>방부</t>
        </is>
      </c>
      <c r="B124" s="31" t="inlineStr">
        <is>
          <t>한방보존제</t>
        </is>
      </c>
      <c r="C124" s="14" t="inlineStr">
        <is>
          <t>2%</t>
        </is>
      </c>
      <c r="D124" s="14" t="inlineStr">
        <is>
          <t>천연</t>
        </is>
      </c>
    </row>
    <row r="125">
      <c r="A125" s="23" t="inlineStr">
        <is>
          <t>방부</t>
        </is>
      </c>
      <c r="B125" s="31" t="inlineStr">
        <is>
          <t>로즈플라워 아로마수</t>
        </is>
      </c>
      <c r="C125" s="14" t="inlineStr">
        <is>
          <t>3%</t>
        </is>
      </c>
      <c r="D125" s="14" t="inlineStr">
        <is>
          <t>천연</t>
        </is>
      </c>
    </row>
    <row r="126">
      <c r="A126" s="23" t="inlineStr">
        <is>
          <t>방부</t>
        </is>
      </c>
      <c r="B126" s="31" t="inlineStr">
        <is>
          <t>나트로틱스</t>
        </is>
      </c>
      <c r="C126" s="14" t="inlineStr">
        <is>
          <t>4%</t>
        </is>
      </c>
      <c r="D126" s="14" t="inlineStr">
        <is>
          <t>천연</t>
        </is>
      </c>
    </row>
    <row r="127">
      <c r="A127" s="23" t="inlineStr">
        <is>
          <t>방부</t>
        </is>
      </c>
      <c r="B127" s="31" t="inlineStr">
        <is>
          <t>수용성 보존제</t>
        </is>
      </c>
      <c r="C127" s="14" t="inlineStr">
        <is>
          <t>1%</t>
        </is>
      </c>
      <c r="D127" s="14" t="inlineStr">
        <is>
          <t>천연</t>
        </is>
      </c>
    </row>
    <row r="128">
      <c r="A128" s="23" t="inlineStr">
        <is>
          <t>방부</t>
        </is>
      </c>
      <c r="B128" s="31" t="inlineStr">
        <is>
          <t>러블리 레몬 아로마수</t>
        </is>
      </c>
      <c r="C128" s="14" t="inlineStr">
        <is>
          <t>3%</t>
        </is>
      </c>
      <c r="D128" s="14" t="inlineStr">
        <is>
          <t>천연</t>
        </is>
      </c>
    </row>
    <row r="129">
      <c r="A129" s="23" t="inlineStr">
        <is>
          <t>방부</t>
        </is>
      </c>
      <c r="B129" s="31" t="inlineStr">
        <is>
          <t>허브누리의 아주 순한 샴푸베이스</t>
        </is>
      </c>
      <c r="C129" s="14" t="inlineStr">
        <is>
          <t>80%</t>
        </is>
      </c>
      <c r="D129" s="14" t="inlineStr">
        <is>
          <t>천연</t>
        </is>
      </c>
    </row>
    <row r="130">
      <c r="A130" s="23" t="inlineStr">
        <is>
          <t>방부</t>
        </is>
      </c>
      <c r="B130" s="31" t="inlineStr">
        <is>
          <t>수용성 한방보존제</t>
        </is>
      </c>
      <c r="C130" s="14" t="inlineStr">
        <is>
          <t>1%</t>
        </is>
      </c>
      <c r="D130" s="14" t="inlineStr">
        <is>
          <t>천연</t>
        </is>
      </c>
    </row>
    <row r="131">
      <c r="A131" s="23" t="inlineStr">
        <is>
          <t>방부</t>
        </is>
      </c>
      <c r="B131" s="31" t="inlineStr">
        <is>
          <t>수용성천연방부제</t>
        </is>
      </c>
      <c r="C131" s="14" t="inlineStr">
        <is>
          <t>1%</t>
        </is>
      </c>
      <c r="D131" s="14" t="inlineStr">
        <is>
          <t>천연</t>
        </is>
      </c>
    </row>
    <row r="132">
      <c r="A132" s="23" t="inlineStr">
        <is>
          <t>방부</t>
        </is>
      </c>
      <c r="B132" s="31" t="inlineStr">
        <is>
          <t>수용성천연보존제</t>
        </is>
      </c>
      <c r="C132" s="14" t="inlineStr">
        <is>
          <t>1%</t>
        </is>
      </c>
      <c r="D132" s="14" t="inlineStr">
        <is>
          <t>천연</t>
        </is>
      </c>
    </row>
    <row r="133">
      <c r="A133" s="23" t="inlineStr">
        <is>
          <t>방부</t>
        </is>
      </c>
      <c r="B133" s="31" t="inlineStr">
        <is>
          <t>1,2-헥산디올 (1,2-Hexanediol)</t>
        </is>
      </c>
      <c r="C133" s="14" t="inlineStr">
        <is>
          <t>2~5%</t>
        </is>
      </c>
      <c r="D133" s="14" t="inlineStr">
        <is>
          <t>기능성</t>
        </is>
      </c>
    </row>
    <row r="134">
      <c r="A134" s="23" t="inlineStr">
        <is>
          <t>방부</t>
        </is>
      </c>
      <c r="B134" s="31" t="inlineStr">
        <is>
          <t>카프릴릴글라이콜+에틸헥실글리세린</t>
        </is>
      </c>
      <c r="C134" s="14" t="inlineStr">
        <is>
          <t>0.3~1%</t>
        </is>
      </c>
      <c r="D134" s="14" t="inlineStr">
        <is>
          <t>기능성</t>
        </is>
      </c>
    </row>
    <row r="135">
      <c r="A135" s="23" t="inlineStr">
        <is>
          <t>방부</t>
        </is>
      </c>
      <c r="B135" s="31" t="inlineStr">
        <is>
          <t>페녹시에탄올(+에틸헥실글리세린)</t>
        </is>
      </c>
      <c r="C135" s="14" t="inlineStr">
        <is>
          <t>0.5~1%</t>
        </is>
      </c>
      <c r="D135" s="14" t="inlineStr">
        <is>
          <t>기능성</t>
        </is>
      </c>
    </row>
    <row r="136">
      <c r="A136" s="23" t="inlineStr">
        <is>
          <t>방부</t>
        </is>
      </c>
      <c r="B136" s="31" t="inlineStr">
        <is>
          <t>포타슘소르베이트+소듐벤조에이트</t>
        </is>
      </c>
      <c r="C136" s="14" t="inlineStr">
        <is>
          <t>각 0.1~0.5%</t>
        </is>
      </c>
      <c r="D136" s="14" t="inlineStr">
        <is>
          <t>기능성</t>
        </is>
      </c>
    </row>
    <row r="137">
      <c r="A137" s="23" t="inlineStr">
        <is>
          <t>방부</t>
        </is>
      </c>
      <c r="B137" s="31" t="inlineStr">
        <is>
          <t>류시덜(Leuconostoc/무발효물)</t>
        </is>
      </c>
      <c r="C137" s="14" t="inlineStr">
        <is>
          <t>2~4%</t>
        </is>
      </c>
      <c r="D137" s="14" t="inlineStr">
        <is>
          <t>기능성</t>
        </is>
      </c>
    </row>
    <row r="138">
      <c r="A138" s="24" t="inlineStr">
        <is>
          <t>점증/pH</t>
        </is>
      </c>
      <c r="B138" s="31" t="inlineStr">
        <is>
          <t>쟁탄검</t>
        </is>
      </c>
      <c r="C138" s="14" t="inlineStr">
        <is>
          <t>0%</t>
        </is>
      </c>
      <c r="D138" s="14" t="inlineStr">
        <is>
          <t>천연</t>
        </is>
      </c>
    </row>
    <row r="139">
      <c r="A139" s="24" t="inlineStr">
        <is>
          <t>점증/pH</t>
        </is>
      </c>
      <c r="B139" s="31" t="inlineStr">
        <is>
          <t>베이킹소다</t>
        </is>
      </c>
      <c r="C139" s="14" t="inlineStr">
        <is>
          <t>45%</t>
        </is>
      </c>
      <c r="D139" s="14" t="inlineStr">
        <is>
          <t>천연</t>
        </is>
      </c>
    </row>
    <row r="140">
      <c r="A140" s="24" t="inlineStr">
        <is>
          <t>점증/pH</t>
        </is>
      </c>
      <c r="B140" s="31" t="inlineStr">
        <is>
          <t>구연산</t>
        </is>
      </c>
      <c r="C140" s="14" t="inlineStr">
        <is>
          <t>24%</t>
        </is>
      </c>
      <c r="D140" s="14" t="inlineStr">
        <is>
          <t>천연</t>
        </is>
      </c>
    </row>
    <row r="141">
      <c r="A141" s="24" t="inlineStr">
        <is>
          <t>점증/pH</t>
        </is>
      </c>
      <c r="B141" s="31" t="inlineStr">
        <is>
          <t>하이셀</t>
        </is>
      </c>
      <c r="C141" s="14" t="inlineStr">
        <is>
          <t>1%</t>
        </is>
      </c>
      <c r="D141" s="14" t="inlineStr">
        <is>
          <t>천연</t>
        </is>
      </c>
    </row>
    <row r="142">
      <c r="A142" s="24" t="inlineStr">
        <is>
          <t>점증/pH</t>
        </is>
      </c>
      <c r="B142" s="31" t="inlineStr">
        <is>
          <t>카보머 프리젤</t>
        </is>
      </c>
      <c r="C142" s="14" t="inlineStr">
        <is>
          <t>31%</t>
        </is>
      </c>
      <c r="D142" s="14" t="inlineStr">
        <is>
          <t>천연</t>
        </is>
      </c>
    </row>
    <row r="143">
      <c r="A143" s="24" t="inlineStr">
        <is>
          <t>점증/pH</t>
        </is>
      </c>
      <c r="B143" s="31" t="inlineStr">
        <is>
          <t>구연산수(10%)</t>
        </is>
      </c>
      <c r="C143" s="14" t="inlineStr">
        <is>
          <t>2%</t>
        </is>
      </c>
      <c r="D143" s="14" t="inlineStr">
        <is>
          <t>천연</t>
        </is>
      </c>
    </row>
    <row r="144">
      <c r="A144" s="24" t="inlineStr">
        <is>
          <t>점증/pH</t>
        </is>
      </c>
      <c r="B144" s="31" t="inlineStr">
        <is>
          <t>소다</t>
        </is>
      </c>
      <c r="C144" s="14" t="inlineStr"/>
      <c r="D144" s="14" t="inlineStr">
        <is>
          <t>천연</t>
        </is>
      </c>
    </row>
    <row r="145">
      <c r="A145" s="24" t="inlineStr">
        <is>
          <t>점증/pH</t>
        </is>
      </c>
      <c r="B145" s="31" t="inlineStr">
        <is>
          <t>아하바하파하 컴플렉스</t>
        </is>
      </c>
      <c r="C145" s="14" t="inlineStr">
        <is>
          <t>10%</t>
        </is>
      </c>
      <c r="D145" s="14" t="inlineStr">
        <is>
          <t>천연</t>
        </is>
      </c>
    </row>
    <row r="146">
      <c r="A146" s="24" t="inlineStr">
        <is>
          <t>점증/pH</t>
        </is>
      </c>
      <c r="B146" s="31" t="inlineStr">
        <is>
          <t>물에 갠 검은 색 물감</t>
        </is>
      </c>
      <c r="C146" s="14" t="inlineStr">
        <is>
          <t>4%</t>
        </is>
      </c>
      <c r="D146" s="14" t="inlineStr">
        <is>
          <t>천연</t>
        </is>
      </c>
    </row>
    <row r="147">
      <c r="A147" s="24" t="inlineStr">
        <is>
          <t>점증/pH</t>
        </is>
      </c>
      <c r="B147" s="31" t="inlineStr">
        <is>
          <t>***쟁탄검</t>
        </is>
      </c>
      <c r="C147" s="14" t="inlineStr">
        <is>
          <t>0%</t>
        </is>
      </c>
      <c r="D147" s="14" t="inlineStr">
        <is>
          <t>천연</t>
        </is>
      </c>
    </row>
    <row r="148">
      <c r="A148" s="24" t="inlineStr">
        <is>
          <t>점증/pH</t>
        </is>
      </c>
      <c r="B148" s="31" t="inlineStr">
        <is>
          <t>내추럴 / 셀룰로오즈</t>
        </is>
      </c>
      <c r="C148" s="14" t="inlineStr">
        <is>
          <t>10%</t>
        </is>
      </c>
      <c r="D148" s="14" t="inlineStr">
        <is>
          <t>천연</t>
        </is>
      </c>
    </row>
    <row r="149">
      <c r="A149" s="24" t="inlineStr">
        <is>
          <t>점증/pH</t>
        </is>
      </c>
      <c r="B149" s="31" t="inlineStr">
        <is>
          <t>주석산</t>
        </is>
      </c>
      <c r="C149" s="14" t="inlineStr">
        <is>
          <t>20%</t>
        </is>
      </c>
      <c r="D149" s="14" t="inlineStr">
        <is>
          <t>천연</t>
        </is>
      </c>
    </row>
    <row r="150">
      <c r="A150" s="24" t="inlineStr">
        <is>
          <t>점증/pH</t>
        </is>
      </c>
      <c r="B150" s="31" t="inlineStr">
        <is>
          <t>잔탄검 (Xanthan Gum)</t>
        </is>
      </c>
      <c r="C150" s="14" t="inlineStr">
        <is>
          <t>0.2~1%</t>
        </is>
      </c>
      <c r="D150" s="14" t="inlineStr">
        <is>
          <t>기능성</t>
        </is>
      </c>
    </row>
    <row r="151">
      <c r="A151" s="24" t="inlineStr">
        <is>
          <t>점증/pH</t>
        </is>
      </c>
      <c r="B151" s="31" t="inlineStr">
        <is>
          <t>카보머 (Carbomer) + 중화제</t>
        </is>
      </c>
      <c r="C151" s="14" t="inlineStr">
        <is>
          <t>0.1~0.5%</t>
        </is>
      </c>
      <c r="D151" s="14" t="inlineStr">
        <is>
          <t>기능성</t>
        </is>
      </c>
    </row>
    <row r="152">
      <c r="A152" s="24" t="inlineStr">
        <is>
          <t>점증/pH</t>
        </is>
      </c>
      <c r="B152" s="31" t="inlineStr">
        <is>
          <t>하이드록시에틸셀룰로오스 (HEC)</t>
        </is>
      </c>
      <c r="C152" s="14" t="inlineStr">
        <is>
          <t>0.5~1.5%</t>
        </is>
      </c>
      <c r="D152" s="14" t="inlineStr">
        <is>
          <t>기능성</t>
        </is>
      </c>
    </row>
    <row r="153">
      <c r="A153" s="24" t="inlineStr">
        <is>
          <t>점증/pH</t>
        </is>
      </c>
      <c r="B153" s="31" t="inlineStr">
        <is>
          <t>구연산 / 소듐시트레이트</t>
        </is>
      </c>
      <c r="C153" s="14" t="inlineStr">
        <is>
          <t>0.05~0.5%</t>
        </is>
      </c>
      <c r="D153" s="14" t="inlineStr">
        <is>
          <t>기능성</t>
        </is>
      </c>
    </row>
    <row r="154">
      <c r="A154" s="24" t="inlineStr">
        <is>
          <t>점증/pH</t>
        </is>
      </c>
      <c r="B154" s="31" t="inlineStr">
        <is>
          <t>트리에탄올아민(TEA)/소듐하이드록사이드</t>
        </is>
      </c>
      <c r="C154" s="14" t="inlineStr">
        <is>
          <t>미량</t>
        </is>
      </c>
      <c r="D154" s="14" t="inlineStr">
        <is>
          <t>기능성</t>
        </is>
      </c>
    </row>
    <row r="155">
      <c r="A155" s="24" t="inlineStr">
        <is>
          <t>점증/pH</t>
        </is>
      </c>
      <c r="B155" s="31" t="inlineStr">
        <is>
          <t>소듐글루코네이트 / EDTA (킬레이트)</t>
        </is>
      </c>
      <c r="C155" s="14" t="inlineStr">
        <is>
          <t>0.1~0.2%</t>
        </is>
      </c>
      <c r="D155" s="14" t="inlineStr">
        <is>
          <t>기능성</t>
        </is>
      </c>
    </row>
    <row r="156">
      <c r="A156" s="25" t="inlineStr">
        <is>
          <t>기타</t>
        </is>
      </c>
      <c r="B156" s="31" t="inlineStr">
        <is>
          <t>알파 비사보롤</t>
        </is>
      </c>
      <c r="C156" s="14" t="inlineStr">
        <is>
          <t>1%</t>
        </is>
      </c>
      <c r="D156" s="14" t="inlineStr">
        <is>
          <t>천연</t>
        </is>
      </c>
    </row>
    <row r="157">
      <c r="A157" s="25" t="inlineStr">
        <is>
          <t>기타</t>
        </is>
      </c>
      <c r="B157" s="31" t="inlineStr">
        <is>
          <t>옥수수전분</t>
        </is>
      </c>
      <c r="C157" s="14" t="inlineStr">
        <is>
          <t>23%</t>
        </is>
      </c>
      <c r="D157" s="14" t="inlineStr">
        <is>
          <t>천연</t>
        </is>
      </c>
    </row>
    <row r="158">
      <c r="A158" s="25" t="inlineStr">
        <is>
          <t>기타</t>
        </is>
      </c>
      <c r="B158" s="31" t="inlineStr">
        <is>
          <t>세틸알코올</t>
        </is>
      </c>
      <c r="C158" s="14" t="inlineStr">
        <is>
          <t>4%</t>
        </is>
      </c>
      <c r="D158" s="14" t="inlineStr">
        <is>
          <t>천연</t>
        </is>
      </c>
    </row>
    <row r="159">
      <c r="A159" s="25" t="inlineStr">
        <is>
          <t>기타</t>
        </is>
      </c>
      <c r="B159" s="31" t="inlineStr">
        <is>
          <t>트레할로스</t>
        </is>
      </c>
      <c r="C159" s="14" t="inlineStr">
        <is>
          <t>3%</t>
        </is>
      </c>
      <c r="D159" s="14" t="inlineStr">
        <is>
          <t>천연</t>
        </is>
      </c>
    </row>
    <row r="160">
      <c r="A160" s="25" t="inlineStr">
        <is>
          <t>기타</t>
        </is>
      </c>
      <c r="B160" s="31" t="inlineStr">
        <is>
          <t>수딩 4 컴플렉스</t>
        </is>
      </c>
      <c r="C160" s="14" t="inlineStr">
        <is>
          <t>7%</t>
        </is>
      </c>
      <c r="D160" s="14" t="inlineStr">
        <is>
          <t>천연</t>
        </is>
      </c>
    </row>
    <row r="161">
      <c r="A161" s="25" t="inlineStr">
        <is>
          <t>기타</t>
        </is>
      </c>
      <c r="B161" s="31" t="inlineStr">
        <is>
          <t>친환경 석고</t>
        </is>
      </c>
      <c r="C161" s="14" t="inlineStr">
        <is>
          <t>67%</t>
        </is>
      </c>
      <c r="D161" s="14" t="inlineStr">
        <is>
          <t>천연</t>
        </is>
      </c>
    </row>
    <row r="162">
      <c r="A162" s="25" t="inlineStr">
        <is>
          <t>기타</t>
        </is>
      </c>
      <c r="B162" s="31" t="inlineStr">
        <is>
          <t>멘톨</t>
        </is>
      </c>
      <c r="C162" s="14" t="inlineStr">
        <is>
          <t>2%</t>
        </is>
      </c>
      <c r="D162" s="14" t="inlineStr">
        <is>
          <t>천연</t>
        </is>
      </c>
    </row>
    <row r="163">
      <c r="A163" s="25" t="inlineStr">
        <is>
          <t>기타</t>
        </is>
      </c>
      <c r="B163" s="31" t="inlineStr">
        <is>
          <t>립컬러 베이스</t>
        </is>
      </c>
      <c r="C163" s="14" t="inlineStr">
        <is>
          <t>18%</t>
        </is>
      </c>
      <c r="D163" s="14" t="inlineStr">
        <is>
          <t>천연</t>
        </is>
      </c>
    </row>
    <row r="164">
      <c r="A164" s="25" t="inlineStr">
        <is>
          <t>기타</t>
        </is>
      </c>
      <c r="B164" s="31" t="inlineStr">
        <is>
          <t>시너메이트</t>
        </is>
      </c>
      <c r="C164" s="14" t="inlineStr">
        <is>
          <t>3%</t>
        </is>
      </c>
      <c r="D164" s="14" t="inlineStr">
        <is>
          <t>천연</t>
        </is>
      </c>
    </row>
    <row r="165">
      <c r="A165" s="25" t="inlineStr">
        <is>
          <t>기타</t>
        </is>
      </c>
      <c r="B165" s="31" t="inlineStr">
        <is>
          <t>아르간 가득한 / 크림베이스</t>
        </is>
      </c>
      <c r="C165" s="14" t="inlineStr">
        <is>
          <t>90%</t>
        </is>
      </c>
      <c r="D165" s="14" t="inlineStr">
        <is>
          <t>천연</t>
        </is>
      </c>
    </row>
    <row r="166">
      <c r="A166" s="25" t="inlineStr">
        <is>
          <t>기타</t>
        </is>
      </c>
      <c r="B166" s="31" t="inlineStr">
        <is>
          <t>천연 사쉐 스톤</t>
        </is>
      </c>
      <c r="C166" s="14" t="inlineStr">
        <is>
          <t>50%</t>
        </is>
      </c>
      <c r="D166" s="14" t="inlineStr">
        <is>
          <t>천연</t>
        </is>
      </c>
    </row>
    <row r="167">
      <c r="A167" s="25" t="inlineStr">
        <is>
          <t>기타</t>
        </is>
      </c>
      <c r="B167" s="31" t="inlineStr">
        <is>
          <t>PDRN</t>
        </is>
      </c>
      <c r="C167" s="14" t="inlineStr">
        <is>
          <t>8%</t>
        </is>
      </c>
      <c r="D167" s="14" t="inlineStr">
        <is>
          <t>천연</t>
        </is>
      </c>
    </row>
    <row r="168">
      <c r="A168" s="25" t="inlineStr">
        <is>
          <t>기타</t>
        </is>
      </c>
      <c r="B168" s="31" t="inlineStr">
        <is>
          <t>스쿠알란 (Squalane)</t>
        </is>
      </c>
      <c r="C168" s="14" t="inlineStr">
        <is>
          <t>2~15%</t>
        </is>
      </c>
      <c r="D168" s="14" t="inlineStr">
        <is>
          <t>기능성</t>
        </is>
      </c>
    </row>
    <row r="169">
      <c r="A169" s="25" t="inlineStr">
        <is>
          <t>기타</t>
        </is>
      </c>
      <c r="B169" s="31" t="inlineStr">
        <is>
          <t>카프릴릭/카프릭트라이글리세라이드 (MCT, C8/C10)</t>
        </is>
      </c>
      <c r="C169" s="14" t="inlineStr">
        <is>
          <t>3~15%</t>
        </is>
      </c>
      <c r="D169" s="14" t="inlineStr">
        <is>
          <t>기능성</t>
        </is>
      </c>
    </row>
    <row r="170">
      <c r="A170" s="25" t="inlineStr">
        <is>
          <t>기타</t>
        </is>
      </c>
      <c r="B170" s="31" t="inlineStr">
        <is>
          <t>다이메치콘/사이클로메치콘 (Silicone)</t>
        </is>
      </c>
      <c r="C170" s="14" t="inlineStr">
        <is>
          <t>1~10%</t>
        </is>
      </c>
      <c r="D170" s="14" t="inlineStr">
        <is>
          <t>기능성</t>
        </is>
      </c>
    </row>
    <row r="171">
      <c r="A171" s="25" t="inlineStr">
        <is>
          <t>기타</t>
        </is>
      </c>
      <c r="B171" s="31" t="inlineStr">
        <is>
          <t>C12-15 알킬벤조에이트</t>
        </is>
      </c>
      <c r="C171" s="14" t="inlineStr">
        <is>
          <t>2~10%</t>
        </is>
      </c>
      <c r="D171" s="14" t="inlineStr">
        <is>
          <t>기능성</t>
        </is>
      </c>
    </row>
    <row r="172">
      <c r="A172" s="25" t="inlineStr">
        <is>
          <t>기타</t>
        </is>
      </c>
      <c r="B172" s="31" t="inlineStr">
        <is>
          <t>아이소프로필미리스테이트(IPM)/팔미테이트</t>
        </is>
      </c>
      <c r="C172" s="14" t="inlineStr">
        <is>
          <t>2~8%</t>
        </is>
      </c>
      <c r="D172" s="14" t="inlineStr">
        <is>
          <t>기능성</t>
        </is>
      </c>
    </row>
    <row r="173">
      <c r="A173" s="25" t="inlineStr">
        <is>
          <t>기타</t>
        </is>
      </c>
      <c r="B173" s="31" t="inlineStr">
        <is>
          <t>토코페롤 (Vitamin E)</t>
        </is>
      </c>
      <c r="C173" s="14" t="inlineStr">
        <is>
          <t>0.1~1%</t>
        </is>
      </c>
      <c r="D173" s="14" t="inlineStr">
        <is>
          <t>기능성</t>
        </is>
      </c>
    </row>
    <row r="174">
      <c r="A174" s="25" t="inlineStr">
        <is>
          <t>기타</t>
        </is>
      </c>
      <c r="B174" s="31" t="inlineStr">
        <is>
          <t>로즈마리추출물(올레오레진)/BHT</t>
        </is>
      </c>
      <c r="C174" s="14" t="inlineStr">
        <is>
          <t>0.05~0.5%</t>
        </is>
      </c>
      <c r="D174" s="14" t="inlineStr">
        <is>
          <t>기능성</t>
        </is>
      </c>
    </row>
  </sheetData>
  <autoFilter ref="A1:D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2026-10-04T08:19:56Z</dcterms:created>
  <dcterms:modified xsi:type="dcterms:W3CDTF">2026-10-04T08:19:56Z</dcterms:modified>
</cp:coreProperties>
</file>