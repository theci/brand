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읽어보기" sheetId="1" state="visible" r:id="rId1"/>
    <sheet name="레시피" sheetId="2" state="visible" r:id="rId2"/>
    <sheet name="트러블슈팅" sheetId="3" state="visible" r:id="rId3"/>
    <sheet name="원료" sheetId="4" state="visible" r:id="rId4"/>
    <sheet name="도구" sheetId="5" state="visible" r:id="rId5"/>
    <sheet name="입출고" sheetId="6" state="visible" r:id="rId6"/>
    <sheet name="개발일지" sheetId="7" state="visible" r:id="rId7"/>
    <sheet name="처방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FFFFFFFF"/>
      <sz val="14"/>
    </font>
    <font>
      <b val="1"/>
    </font>
    <font>
      <i val="1"/>
      <color rgb="FFC00000"/>
    </font>
    <font>
      <b val="1"/>
      <color rgb="FFFFFFFF"/>
      <sz val="12"/>
    </font>
    <font>
      <color rgb="FF000000"/>
      <sz val="11"/>
    </font>
    <font>
      <b val="1"/>
      <color rgb="FF000000"/>
      <sz val="11"/>
    </font>
    <font>
      <b val="1"/>
      <color rgb="FFFFFFFF"/>
      <sz val="11"/>
    </font>
    <font>
      <color rgb="FF404040"/>
      <sz val="10"/>
    </font>
  </fonts>
  <fills count="8">
    <fill>
      <patternFill/>
    </fill>
    <fill>
      <patternFill patternType="gray125"/>
    </fill>
    <fill>
      <patternFill patternType="solid">
        <fgColor rgb="FF1F3A5F"/>
      </patternFill>
    </fill>
    <fill>
      <patternFill patternType="solid">
        <fgColor rgb="FFDCE6F1"/>
      </patternFill>
    </fill>
    <fill>
      <patternFill patternType="solid">
        <fgColor rgb="FFF2F2F2"/>
      </patternFill>
    </fill>
    <fill>
      <patternFill patternType="solid">
        <fgColor rgb="FFFFFFFF"/>
      </patternFill>
    </fill>
    <fill>
      <patternFill patternType="solid">
        <fgColor rgb="FFE2EFDA"/>
      </patternFill>
    </fill>
    <fill>
      <patternFill patternType="solid">
        <fgColor rgb="FFFCE4D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0" applyAlignment="1" pivotButton="0" quotePrefix="0" xfId="0">
      <alignment vertical="top" wrapText="1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 wrapText="1"/>
    </xf>
    <xf numFmtId="0" fontId="3" fillId="0" borderId="0" pivotButton="0" quotePrefix="0" xfId="0"/>
    <xf numFmtId="0" fontId="4" fillId="2" borderId="0" applyAlignment="1" pivotButton="0" quotePrefix="0" xfId="0">
      <alignment vertical="center" wrapText="1" indent="1"/>
    </xf>
    <xf numFmtId="0" fontId="5" fillId="4" borderId="0" applyAlignment="1" pivotButton="0" quotePrefix="0" xfId="0">
      <alignment vertical="center" wrapText="1" indent="1"/>
    </xf>
    <xf numFmtId="0" fontId="6" fillId="3" borderId="0" applyAlignment="1" pivotButton="0" quotePrefix="0" xfId="0">
      <alignment vertical="center" wrapText="1" indent="1"/>
    </xf>
    <xf numFmtId="0" fontId="5" fillId="5" borderId="0" applyAlignment="1" pivotButton="0" quotePrefix="0" xfId="0">
      <alignment vertical="center" wrapText="1" indent="2"/>
    </xf>
    <xf numFmtId="0" fontId="7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top"/>
    </xf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2" fillId="3" borderId="1" pivotButton="0" quotePrefix="0" xfId="0"/>
    <xf numFmtId="0" fontId="0" fillId="3" borderId="1" pivotButton="0" quotePrefix="0" xfId="0"/>
    <xf numFmtId="0" fontId="2" fillId="3" borderId="1" applyAlignment="1" pivotButton="0" quotePrefix="0" xfId="0">
      <alignment horizontal="center" vertical="center"/>
    </xf>
    <xf numFmtId="0" fontId="0" fillId="7" borderId="1" applyAlignment="1" pivotButton="0" quotePrefix="0" xfId="0">
      <alignment horizontal="center" vertical="center"/>
    </xf>
    <xf numFmtId="0" fontId="8" fillId="4" borderId="0" applyAlignment="1" pivotButton="0" quotePrefix="0" xfId="0">
      <alignment vertical="top" wrapText="1" indent="1"/>
    </xf>
    <xf numFmtId="0" fontId="0" fillId="0" borderId="1" pivotButton="0" quotePrefix="0" xfId="0"/>
  </cellXfs>
  <cellStyles count="1">
    <cellStyle name="Normal" xfId="0" builtinId="0" hidden="0"/>
  </cellStyles>
  <dxfs count="1">
    <dxf>
      <fill>
        <patternFill patternType="solid">
          <f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트러블슈팅표" displayName="트러블슈팅표" ref="A3:F18" headerRowCount="1">
  <autoFilter ref="A3:F18"/>
  <tableColumns count="6">
    <tableColumn id="1" name="유형"/>
    <tableColumn id="2" name="증상(이슈)"/>
    <tableColumn id="3" name="원인"/>
    <tableColumn id="4" name="조정 — 한 번에 하나만"/>
    <tableColumn id="5" name="관련 역할"/>
    <tableColumn id="6" name="왜"/>
  </tableColumns>
  <tableStyleInfo name="TableStyleLight9" showRowStripes="1"/>
</table>
</file>

<file path=xl/tables/table2.xml><?xml version="1.0" encoding="utf-8"?>
<table xmlns="http://schemas.openxmlformats.org/spreadsheetml/2006/main" id="2" name="원료표" displayName="원료표" ref="A3:M29" headerRowCount="1">
  <autoFilter ref="A3:M29"/>
  <tableColumns count="13">
    <tableColumn id="1" name="원료"/>
    <tableColumn id="2" name="INCI"/>
    <tableColumn id="3" name="상"/>
    <tableColumn id="4" name="역할"/>
    <tableColumn id="5" name="역할 설명"/>
    <tableColumn id="6" name="세이프"/>
    <tableColumn id="7" name="보관"/>
    <tableColumn id="8" name="최초보유g"/>
    <tableColumn id="9" name="구매g"/>
    <tableColumn id="10" name="조정g"/>
    <tableColumn id="11" name="제조사용g"/>
    <tableColumn id="12" name="현재고g"/>
    <tableColumn id="13" name="비고"/>
  </tableColumns>
  <tableStyleInfo name="TableStyleLight9" showRowStripes="1"/>
</table>
</file>

<file path=xl/tables/table3.xml><?xml version="1.0" encoding="utf-8"?>
<table xmlns="http://schemas.openxmlformats.org/spreadsheetml/2006/main" id="3" name="도구표" displayName="도구표" ref="A3:F36" headerRowCount="1">
  <autoFilter ref="A3:F36"/>
  <tableColumns count="6">
    <tableColumn id="1" name="분류"/>
    <tableColumn id="2" name="도구"/>
    <tableColumn id="3" name="권장규격·모델"/>
    <tableColumn id="4" name="용도"/>
    <tableColumn id="5" name="보유"/>
    <tableColumn id="6" name="메모"/>
  </tableColumns>
  <tableStyleInfo name="TableStyleLight9" showRowStripes="1"/>
</table>
</file>

<file path=xl/tables/table4.xml><?xml version="1.0" encoding="utf-8"?>
<table xmlns="http://schemas.openxmlformats.org/spreadsheetml/2006/main" id="4" name="입출고표" displayName="입출고표" ref="A3:F63" headerRowCount="1">
  <autoFilter ref="A3:F63"/>
  <tableColumns count="6">
    <tableColumn id="1" name="날짜"/>
    <tableColumn id="2" name="원료"/>
    <tableColumn id="3" name="구분"/>
    <tableColumn id="4" name="수량g"/>
    <tableColumn id="5" name="출처·단가"/>
    <tableColumn id="6" name="메모"/>
  </tableColumns>
  <tableStyleInfo name="TableStyleLight9" showRowStripes="1"/>
</table>
</file>

<file path=xl/tables/table5.xml><?xml version="1.0" encoding="utf-8"?>
<table xmlns="http://schemas.openxmlformats.org/spreadsheetml/2006/main" id="5" name="개발일지표" displayName="개발일지표" ref="A3:L65" headerRowCount="1">
  <autoFilter ref="A3:L65"/>
  <tableColumns count="12">
    <tableColumn id="1" name="날짜"/>
    <tableColumn id="2" name="제품"/>
    <tableColumn id="3" name="배치량g"/>
    <tableColumn id="4" name="기준(base)"/>
    <tableColumn id="5" name="바꾼것"/>
    <tableColumn id="6" name="유화ok"/>
    <tableColumn id="7" name="분리mm"/>
    <tableColumn id="8" name="pH"/>
    <tableColumn id="9" name="사용감"/>
    <tableColumn id="10" name="이슈"/>
    <tableColumn id="11" name="판정"/>
    <tableColumn id="12" name="다음 아이디어"/>
  </tableColumns>
  <tableStyleInfo name="TableStyleLight9" showRowStripes="1"/>
</table>
</file>

<file path=xl/tables/table6.xml><?xml version="1.0" encoding="utf-8"?>
<table xmlns="http://schemas.openxmlformats.org/spreadsheetml/2006/main" id="6" name="처방표" displayName="처방표" ref="A3:F92" headerRowCount="1">
  <autoFilter ref="A3:F92"/>
  <tableColumns count="6">
    <tableColumn id="1" name="제품"/>
    <tableColumn id="2" name="원료"/>
    <tableColumn id="3" name="상"/>
    <tableColumn id="4" name="퍼센트"/>
    <tableColumn id="5" name="제조누계g"/>
    <tableColumn id="6" name="사용g"/>
  </tableColumns>
  <tableStyleInfo name="TableStyleLight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91"/>
  <sheetViews>
    <sheetView workbookViewId="0">
      <selection activeCell="A1" sqref="A1"/>
    </sheetView>
  </sheetViews>
  <sheetFormatPr baseColWidth="8" defaultRowHeight="15"/>
  <cols>
    <col width="26" customWidth="1" min="1" max="1"/>
    <col width="92" customWidth="1" min="2" max="2"/>
  </cols>
  <sheetData>
    <row r="1" ht="30" customHeight="1">
      <c r="A1" s="1" t="inlineStr">
        <is>
          <t>제품개발 마스터 — 읽어보기</t>
        </is>
      </c>
    </row>
    <row r="3">
      <c r="A3" s="2" t="inlineStr">
        <is>
          <t>이 파일이 하는 일</t>
        </is>
      </c>
    </row>
    <row r="4" ht="17" customHeight="1">
      <c r="A4" s="3" t="inlineStr">
        <is>
          <t>·</t>
        </is>
      </c>
      <c r="B4" s="4" t="inlineStr">
        <is>
          <t>플랫폼 전부를 열지 않고, 매일 여는 '단 하나'의 개발 기록.</t>
        </is>
      </c>
    </row>
    <row r="5" ht="32" customHeight="1">
      <c r="A5" s="3" t="inlineStr">
        <is>
          <t>·</t>
        </is>
      </c>
      <c r="B5" s="4" t="inlineStr">
        <is>
          <t>레시피는 내가(Claude) 짠 초안 — 실험하며 한 축씩 수정해 너의 것으로 만든다.</t>
        </is>
      </c>
    </row>
    <row r="6" ht="17" customHeight="1">
      <c r="A6" s="3" t="inlineStr">
        <is>
          <t>·</t>
        </is>
      </c>
      <c r="B6" s="4" t="inlineStr">
        <is>
          <t>레시피는 '지금 보유한 원료'만으로 만들 수 있게 설계(미보유는 ★표시).</t>
        </is>
      </c>
    </row>
    <row r="7" ht="17" customHeight="1">
      <c r="A7" s="3" t="inlineStr">
        <is>
          <t>·</t>
        </is>
      </c>
      <c r="B7" s="4" t="inlineStr">
        <is>
          <t>각 시트 1행=제목, 2행=그 시트 설명·컬럼 뜻. 처음엔 2행부터 읽으면 된다.</t>
        </is>
      </c>
    </row>
    <row r="9">
      <c r="A9" s="2" t="inlineStr">
        <is>
          <t>처음이라면 — 이렇게 시작 (5분)</t>
        </is>
      </c>
    </row>
    <row r="10" ht="32" customHeight="1">
      <c r="A10" s="3" t="inlineStr">
        <is>
          <t>·</t>
        </is>
      </c>
      <c r="B10" s="4" t="inlineStr">
        <is>
          <t>① '레시피' 시트 맨 위 ①번 '시크 진정 토너'부터. 가장 쉽고(유화 없음) 실패 비용이 작다.</t>
        </is>
      </c>
    </row>
    <row r="11" ht="32" customHeight="1">
      <c r="A11" s="3" t="inlineStr">
        <is>
          <t>·</t>
        </is>
      </c>
      <c r="B11" s="4" t="inlineStr">
        <is>
          <t>② 100g로 만든다 — 레시피 %가 곧 그램(83.5% = 83.5g). 계량·순서는 카드의 '만드는 법'에 다 있다.</t>
        </is>
      </c>
    </row>
    <row r="12" ht="17" customHeight="1">
      <c r="A12" s="3" t="inlineStr">
        <is>
          <t>·</t>
        </is>
      </c>
      <c r="B12" s="4" t="inlineStr">
        <is>
          <t>③ 다 만들면 '개발일지'에 한 줄: 날짜·제품·배치량g·사용감·판정.</t>
        </is>
      </c>
    </row>
    <row r="13" ht="32" customHeight="1">
      <c r="A13" s="3" t="inlineStr">
        <is>
          <t>·</t>
        </is>
      </c>
      <c r="B13" s="4" t="inlineStr">
        <is>
          <t>④ 아쉬운 점(끈적·묽음 등) 있으면 '트러블슈팅'에서 고칠 곳을 찾아 '다음 아이디어'에 적는다.</t>
        </is>
      </c>
    </row>
    <row r="14" ht="17" customHeight="1">
      <c r="A14" s="3" t="inlineStr">
        <is>
          <t>·</t>
        </is>
      </c>
      <c r="B14" s="4" t="inlineStr">
        <is>
          <t>⑤ 다음엔 그 한 가지만 바꿔 다시 만든다. 이 반복이 개발의 전부다.</t>
        </is>
      </c>
    </row>
    <row r="16">
      <c r="A16" s="2" t="inlineStr">
        <is>
          <t>시트 8개 지도</t>
        </is>
      </c>
    </row>
    <row r="17" ht="17" customHeight="1">
      <c r="A17" s="3" t="inlineStr">
        <is>
          <t>·</t>
        </is>
      </c>
      <c r="B17" s="4" t="inlineStr">
        <is>
          <t>읽어보기 : (지금 이 시트) 사용법·흐름·용어.</t>
        </is>
      </c>
    </row>
    <row r="18" ht="17" customHeight="1">
      <c r="A18" s="3" t="inlineStr">
        <is>
          <t>·</t>
        </is>
      </c>
      <c r="B18" s="4" t="inlineStr">
        <is>
          <t>레시피 : 제품별 카드(컨셉·설계이유·원료설명·만드는법). 읽기용.</t>
        </is>
      </c>
    </row>
    <row r="19" ht="32" customHeight="1">
      <c r="A19" s="3" t="inlineStr">
        <is>
          <t>·</t>
        </is>
      </c>
      <c r="B19" s="4" t="inlineStr">
        <is>
          <t>트러블슈팅 : 이슈가 나면 어디를·뭘 바꾸나(증상→원인→조정→관련역할). 필터로 본다.</t>
        </is>
      </c>
    </row>
    <row r="20" ht="17" customHeight="1">
      <c r="A20" s="3" t="inlineStr">
        <is>
          <t>·</t>
        </is>
      </c>
      <c r="B20" s="4" t="inlineStr">
        <is>
          <t>원료   : 현재고가 자동 계산되는 재고판. 역할(고정 12종)로 필터.</t>
        </is>
      </c>
    </row>
    <row r="21" ht="32" customHeight="1">
      <c r="A21" s="3" t="inlineStr">
        <is>
          <t>·</t>
        </is>
      </c>
      <c r="B21" s="4" t="inlineStr">
        <is>
          <t>도구   : 보유·추천 장비/소모품 모음(필터). '보유'·'메모'는 네가 고쳐도 보존.</t>
        </is>
      </c>
    </row>
    <row r="22" ht="17" customHeight="1">
      <c r="A22" s="3" t="inlineStr">
        <is>
          <t>·</t>
        </is>
      </c>
      <c r="B22" s="4" t="inlineStr">
        <is>
          <t>입출고 : 원료를 사거나(구매) 버릴 때(조정) 한 줄씩 쌓는 장부.</t>
        </is>
      </c>
    </row>
    <row r="23" ht="17" customHeight="1">
      <c r="A23" s="3" t="inlineStr">
        <is>
          <t>·</t>
        </is>
      </c>
      <c r="B23" s="4" t="inlineStr">
        <is>
          <t>개발일지 : 배치를 만들고 평가한 기록(제품+배치량g 적으면 재고가 빠진다).</t>
        </is>
      </c>
    </row>
    <row r="24" ht="17" customHeight="1">
      <c r="A24" s="3" t="inlineStr">
        <is>
          <t>·</t>
        </is>
      </c>
      <c r="B24" s="4" t="inlineStr">
        <is>
          <t>처방   : 레시피 %를 표로 — 재고 연계용 수식 엔진(거의 안 봐도 됨).</t>
        </is>
      </c>
    </row>
    <row r="26">
      <c r="A26" s="2" t="inlineStr">
        <is>
          <t>전체 흐름 한눈에</t>
        </is>
      </c>
    </row>
    <row r="27" ht="17" customHeight="1">
      <c r="A27" s="3" t="inlineStr">
        <is>
          <t>·</t>
        </is>
      </c>
      <c r="B27" s="4" t="inlineStr">
        <is>
          <t>[만들기] 레시피 고름 → 만듦 → 개발일지에 기록(사용감·분리mm·pH·판정).</t>
        </is>
      </c>
    </row>
    <row r="28" ht="32" customHeight="1">
      <c r="A28" s="3" t="inlineStr">
        <is>
          <t>·</t>
        </is>
      </c>
      <c r="B28" s="4" t="inlineStr">
        <is>
          <t>[고치기] 이슈 → 트러블슈팅에서 '관련 역할' 확인 → 원료 시트에서 그 역할로 필터 → 바꿀 원료 선택 → 다음 아이디어.</t>
        </is>
      </c>
    </row>
    <row r="29" ht="17" customHeight="1">
      <c r="A29" s="3" t="inlineStr">
        <is>
          <t>·</t>
        </is>
      </c>
      <c r="B29" s="4" t="inlineStr">
        <is>
          <t>[사기]   원료 사면 → 입출고 한 줄(구매) → 원료 '현재고' 자동 ↑.</t>
        </is>
      </c>
    </row>
    <row r="30" ht="17" customHeight="1">
      <c r="A30" s="3" t="inlineStr">
        <is>
          <t>·</t>
        </is>
      </c>
      <c r="B30" s="4" t="inlineStr">
        <is>
          <t>[재고]   만들면 → 개발일지 배치량g → 쓴 원료가 처방 %대로 자동 ↓.</t>
        </is>
      </c>
    </row>
    <row r="32">
      <c r="A32" s="2" t="inlineStr">
        <is>
          <t>★ 재고가 자동으로 맞춰지는 원리</t>
        </is>
      </c>
    </row>
    <row r="33" ht="32" customHeight="1">
      <c r="A33" s="3" t="inlineStr">
        <is>
          <t>·</t>
        </is>
      </c>
      <c r="B33" s="4" t="inlineStr">
        <is>
          <t>현재고 = 최초보유 + 구매(입출고) + 조정(입출고) − 제조사용(개발일지 배치량 × 처방%).</t>
        </is>
      </c>
    </row>
    <row r="34" ht="17" customHeight="1">
      <c r="A34" s="3" t="inlineStr">
        <is>
          <t>·</t>
        </is>
      </c>
      <c r="B34" s="4" t="inlineStr">
        <is>
          <t>원료를 사면 → '입출고'에 [날짜·원료·구매·수량g] 한 줄.</t>
        </is>
      </c>
    </row>
    <row r="35" ht="32" customHeight="1">
      <c r="A35" s="3" t="inlineStr">
        <is>
          <t>·</t>
        </is>
      </c>
      <c r="B35" s="4" t="inlineStr">
        <is>
          <t>제품을 만들면 → '개발일지'에 [날짜·제품·배치량g] 한 줄 → 쓴 원료가 자동 차감.</t>
        </is>
      </c>
    </row>
    <row r="36" ht="17" customHeight="1">
      <c r="A36" s="3" t="inlineStr">
        <is>
          <t>·</t>
        </is>
      </c>
      <c r="B36" s="4" t="inlineStr">
        <is>
          <t>흘리거나 버리면 → '입출고'에 구분 '조정', 수량g에 음수(-).</t>
        </is>
      </c>
    </row>
    <row r="37" ht="17" customHeight="1">
      <c r="A37" s="3" t="inlineStr">
        <is>
          <t>·</t>
        </is>
      </c>
      <c r="B37" s="4" t="inlineStr">
        <is>
          <t>현재고가 빨갛게(음수) 뜨면 그 원료는 '사야 함' 신호.</t>
        </is>
      </c>
    </row>
    <row r="39">
      <c r="A39" s="2" t="inlineStr">
        <is>
          <t>매일 쓰는 법</t>
        </is>
      </c>
    </row>
    <row r="40" ht="17" customHeight="1">
      <c r="A40" s="3" t="inlineStr">
        <is>
          <t>·</t>
        </is>
      </c>
      <c r="B40" s="4" t="inlineStr">
        <is>
          <t>① 필터: 각 표 머리글의 ▼ 버튼으로 상·제품·판정·역할 등으로 걸러 본다.</t>
        </is>
      </c>
    </row>
    <row r="41" ht="32" customHeight="1">
      <c r="A41" s="3" t="inlineStr">
        <is>
          <t>·</t>
        </is>
      </c>
      <c r="B41" s="4" t="inlineStr">
        <is>
          <t>② 새 줄: 표 맨 아래 줄에 바로 입력하면 수식·드롭다운이 자동으로 따라 확장된다.</t>
        </is>
      </c>
    </row>
    <row r="42" ht="17" customHeight="1">
      <c r="A42" s="3" t="inlineStr">
        <is>
          <t>·</t>
        </is>
      </c>
      <c r="B42" s="4" t="inlineStr">
        <is>
          <t>③ 한 번에 한 변수만 바꾼다 — 그래야 뭐가 효과였는지 안다.</t>
        </is>
      </c>
    </row>
    <row r="43" ht="17" customHeight="1">
      <c r="A43" s="3" t="inlineStr">
        <is>
          <t>·</t>
        </is>
      </c>
      <c r="B43" s="4" t="inlineStr">
        <is>
          <t>④ 실패도 '접기'로 기록 — 안 되는 방향을 지우는 것도 전진.</t>
        </is>
      </c>
    </row>
    <row r="45">
      <c r="A45" s="2" t="inlineStr">
        <is>
          <t>이슈가 나면 — 이렇게 고친다 (핵심 루프)</t>
        </is>
      </c>
    </row>
    <row r="46" ht="32" customHeight="1">
      <c r="A46" s="3" t="inlineStr">
        <is>
          <t>·</t>
        </is>
      </c>
      <c r="B46" s="4" t="inlineStr">
        <is>
          <t>개발일지에 사용감·이슈·분리mm·pH를 적는다 → '트러블슈팅'에서 그 증상 줄을 찾는다.</t>
        </is>
      </c>
    </row>
    <row r="47" ht="32" customHeight="1">
      <c r="A47" s="3" t="inlineStr">
        <is>
          <t>·</t>
        </is>
      </c>
      <c r="B47" s="4" t="inlineStr">
        <is>
          <t>그 줄의 '관련 역할'(예: 끈적임→보습)을 보고 → '원료' 시트에서 역할=그 값으로 필터 → 바꿀 후보 원료가 한눈에.</t>
        </is>
      </c>
    </row>
    <row r="48" ht="32" customHeight="1">
      <c r="A48" s="3" t="inlineStr">
        <is>
          <t>·</t>
        </is>
      </c>
      <c r="B48" s="4" t="inlineStr">
        <is>
          <t>'조정'대로 한 축만 골라 개발일지 '다음 아이디어'에 적는다(예: 글리세린 1%p↓ + 베타인으로 대체).</t>
        </is>
      </c>
    </row>
    <row r="49" ht="32" customHeight="1">
      <c r="A49" s="3" t="inlineStr">
        <is>
          <t>·</t>
        </is>
      </c>
      <c r="B49" s="4" t="inlineStr">
        <is>
          <t>다음에 만들 땐 그 '다음 아이디어'가 이번 배치의 '바꾼것', '기준(base)'엔 직전 버전을 적는다.</t>
        </is>
      </c>
    </row>
    <row r="50" ht="17" customHeight="1">
      <c r="A50" s="3" t="inlineStr">
        <is>
          <t>·</t>
        </is>
      </c>
      <c r="B50" s="4" t="inlineStr">
        <is>
          <t>접힌 것도 '이 방향은 아니다' 데이터 — 지우지 말고 남긴다.</t>
        </is>
      </c>
    </row>
    <row r="52">
      <c r="A52" s="2" t="inlineStr">
        <is>
          <t>원료 '역할' 12종 (필터·트러블슈팅 공통 어휘)</t>
        </is>
      </c>
    </row>
    <row r="53" ht="32" customHeight="1">
      <c r="A53" s="3" t="inlineStr">
        <is>
          <t>·</t>
        </is>
      </c>
      <c r="B53" s="4" t="inlineStr">
        <is>
          <t>용제 = 바탕 물. / 보습 = 수분 잡기(글리세린·베타인·HA). / 활성 = 효능(피지·진정·톤).</t>
        </is>
      </c>
    </row>
    <row r="54" ht="32" customHeight="1">
      <c r="A54" s="3" t="inlineStr">
        <is>
          <t>·</t>
        </is>
      </c>
      <c r="B54" s="4" t="inlineStr">
        <is>
          <t>유화제 = 물·기름 섞기(몬타노브68). / 점증제 = 되기 만들기(잔탄검). / 유상·에몰리언트 = 오일·지방알코올.</t>
        </is>
      </c>
    </row>
    <row r="55" ht="32" customHeight="1">
      <c r="A55" s="3" t="inlineStr">
        <is>
          <t>·</t>
        </is>
      </c>
      <c r="B55" s="4" t="inlineStr">
        <is>
          <t>감촉·실리콘 = 매끈함(디메치콘). / 향료 = 향(다도기는 무향 원칙). / 방부제 = 세균·곰팡이 방지.</t>
        </is>
      </c>
    </row>
    <row r="56" ht="32" customHeight="1">
      <c r="A56" s="3" t="inlineStr">
        <is>
          <t>·</t>
        </is>
      </c>
      <c r="B56" s="4" t="inlineStr">
        <is>
          <t>항산화제 = 산패 방지(토코페롤). / pH조절 = 산도 맞춤(구연산). / 가용화제 = 오일을 물에 풀기(워시오프).</t>
        </is>
      </c>
    </row>
    <row r="57" ht="17" customHeight="1">
      <c r="A57" s="3" t="inlineStr">
        <is>
          <t>·</t>
        </is>
      </c>
      <c r="B57" s="4" t="inlineStr">
        <is>
          <t>→ 자세한 '역할 설명'은 원료 시트의 E열에 역할마다 붙어 있다.</t>
        </is>
      </c>
    </row>
    <row r="59">
      <c r="A59" s="2" t="inlineStr">
        <is>
          <t>안정성 테스트란 (45℃·RT·4℃·동결융해)</t>
        </is>
      </c>
    </row>
    <row r="60" ht="32" customHeight="1">
      <c r="A60" s="3" t="inlineStr">
        <is>
          <t>·</t>
        </is>
      </c>
      <c r="B60" s="4" t="inlineStr">
        <is>
          <t>제품이 '시간이 지나도 안 변하는지' 보는 시험. 같은 배치를 조건별로 나눠 두고 1·2·4·8주 관찰한다.</t>
        </is>
      </c>
    </row>
    <row r="61" ht="32" customHeight="1">
      <c r="A61" s="3" t="inlineStr">
        <is>
          <t>·</t>
        </is>
      </c>
      <c r="B61" s="4" t="inlineStr">
        <is>
          <t>45℃=고온(가속). 더우면 변질이 빨라져 '미래를 미리' 본다 — 분리·변색·냄새·pH 변화가 여기서 먼저 터진다.</t>
        </is>
      </c>
    </row>
    <row r="62" ht="32" customHeight="1">
      <c r="A62" s="3" t="inlineStr">
        <is>
          <t>·</t>
        </is>
      </c>
      <c r="B62" s="4" t="inlineStr">
        <is>
          <t>RT=Room Temperature(상온)=실제 사용 근사·대조군. 4℃=냉장(굳음·결정). 동결융해=얼렸다 녹였다 반복(유화 견고성).</t>
        </is>
      </c>
    </row>
    <row r="63" ht="32" customHeight="1">
      <c r="A63" s="3" t="inlineStr">
        <is>
          <t>·</t>
        </is>
      </c>
      <c r="B63" s="4" t="inlineStr">
        <is>
          <t>둘 곳: 45℃는 발효기/인큐베이터, RT는 직사광 없는 서랍, 4℃·냉동은 냉장고. 투명 바이알에 담아 눈으로 비교.</t>
        </is>
      </c>
    </row>
    <row r="64" ht="32" customHeight="1">
      <c r="A64" s="3" t="inlineStr">
        <is>
          <t>·</t>
        </is>
      </c>
      <c r="B64" s="4" t="inlineStr">
        <is>
          <t>개발일지 예시 '안정성 45C/RT 등록' = 이 배치를 45℃와 상온에 넣어 안정성 관찰을 시작한다는 뜻.</t>
        </is>
      </c>
    </row>
    <row r="66">
      <c r="A66" s="2" t="inlineStr">
        <is>
          <t>초보 용어 사전</t>
        </is>
      </c>
    </row>
    <row r="67" ht="47" customHeight="1">
      <c r="A67" s="3" t="inlineStr">
        <is>
          <t>·</t>
        </is>
      </c>
      <c r="B67" s="4" t="inlineStr">
        <is>
          <t>수상(A)=물에 녹는 것(물·보습·수용성 활성) / 유상(B)=기름에 녹는 것(오일·유화제·지방알코올) / 냉각첨가(C)=식힌 뒤 넣는 열에 약한 것(방부·향·일부 활성).</t>
        </is>
      </c>
    </row>
    <row r="68" ht="32" customHeight="1">
      <c r="A68" s="3" t="inlineStr">
        <is>
          <t>·</t>
        </is>
      </c>
      <c r="B68" s="4" t="inlineStr">
        <is>
          <t>유화 = 물과 기름을 유화제+강한 교반(호모)으로 안 갈라지게 섞는 것(로션·크림).</t>
        </is>
      </c>
    </row>
    <row r="69" ht="32" customHeight="1">
      <c r="A69" s="3" t="inlineStr">
        <is>
          <t>·</t>
        </is>
      </c>
      <c r="B69" s="4" t="inlineStr">
        <is>
          <t>%p(퍼센트포인트) = 배합 % 숫자를 그만큼 올리/내리기(글리세린 5%→4% = 1%p↓).</t>
        </is>
      </c>
    </row>
    <row r="70" ht="32" customHeight="1">
      <c r="A70" s="3" t="inlineStr">
        <is>
          <t>·</t>
        </is>
      </c>
      <c r="B70" s="4" t="inlineStr">
        <is>
          <t>배치 = 한 번에 만드는 양(연습은 100g). base = 이번 실험의 출발 버전.</t>
        </is>
      </c>
    </row>
    <row r="71" ht="32" customHeight="1">
      <c r="A71" s="3" t="inlineStr">
        <is>
          <t>·</t>
        </is>
      </c>
      <c r="B71" s="4" t="inlineStr">
        <is>
          <t>선분산 = 검(잔탄)을 물에 넣기 전 글리세린에 미리 개어 두는 것(뭉침·피시아이 방지).</t>
        </is>
      </c>
    </row>
    <row r="72" ht="32" customHeight="1">
      <c r="A72" s="3" t="inlineStr">
        <is>
          <t>·</t>
        </is>
      </c>
      <c r="B72" s="4" t="inlineStr">
        <is>
          <t>리브온 = 씻어내지 않고 피부에 남는 제품(토너·크림) → 향·보존을 더 보수적으로.</t>
        </is>
      </c>
    </row>
    <row r="73" ht="32" customHeight="1">
      <c r="A73" s="3" t="inlineStr">
        <is>
          <t>·</t>
        </is>
      </c>
      <c r="B73" s="4" t="inlineStr">
        <is>
          <t>말라세지아-세이프 = 피부 효모가 먹는 C11~24 지방산 오일을 뺀 것(우리 오일=스쿠알란·MCT·디메치콘).</t>
        </is>
      </c>
    </row>
    <row r="74" ht="32" customHeight="1">
      <c r="A74" s="3" t="inlineStr">
        <is>
          <t>·</t>
        </is>
      </c>
      <c r="B74" s="4" t="inlineStr">
        <is>
          <t>pH = 산성/염기성 척도(0~14). 피부는 약산성 5 안팎. 물 든 제품만 측정.</t>
        </is>
      </c>
    </row>
    <row r="76">
      <c r="A76" s="2" t="inlineStr">
        <is>
          <t>레시피를 늘리고 싶을 때</t>
        </is>
      </c>
    </row>
    <row r="77" ht="32" customHeight="1">
      <c r="A77" s="3" t="inlineStr">
        <is>
          <t>·</t>
        </is>
      </c>
      <c r="B77" s="4" t="inlineStr">
        <is>
          <t>나(Claude)에게 말하면 레시피 카드 + 처방 표 + (새 원료면) 원료 행을 추가해 재생성한다.</t>
        </is>
      </c>
    </row>
    <row r="78" ht="17" customHeight="1">
      <c r="A78" s="3" t="inlineStr">
        <is>
          <t>·</t>
        </is>
      </c>
      <c r="B78" s="4" t="inlineStr">
        <is>
          <t>재생성해도 네가 적은 '입출고·개발일지'와 도구 '보유·메모'는 그대로 보존된다.</t>
        </is>
      </c>
    </row>
    <row r="79" ht="32" customHeight="1">
      <c r="A79" s="3" t="inlineStr">
        <is>
          <t>·</t>
        </is>
      </c>
      <c r="B79" s="4" t="inlineStr">
        <is>
          <t>직접 늘릴 땐: 처방 표에 [제품·원료·상·퍼센트] 행을 추가하면 재고 연계가 자동으로 걸린다.</t>
        </is>
      </c>
    </row>
    <row r="81">
      <c r="A81" s="2" t="inlineStr">
        <is>
          <t>핵심 제약 (브랜드 = 다도기 지성·진정)</t>
        </is>
      </c>
    </row>
    <row r="82" ht="17" customHeight="1">
      <c r="A82" s="3" t="inlineStr">
        <is>
          <t>·</t>
        </is>
      </c>
      <c r="B82" s="4" t="inlineStr">
        <is>
          <t>말라세지아-세이프: C11~24 지방산 오일 배제(스쿠알란·MCT·디메치콘만).</t>
        </is>
      </c>
    </row>
    <row r="83" ht="17" customHeight="1">
      <c r="A83" s="3" t="inlineStr">
        <is>
          <t>·</t>
        </is>
      </c>
      <c r="B83" s="4" t="inlineStr">
        <is>
          <t>무향: 향료 자극 배제. 화장품 표방 규칙: 치료·완화·항염·살균·병명 금지.</t>
        </is>
      </c>
    </row>
    <row r="84" ht="32" customHeight="1">
      <c r="A84" s="3" t="inlineStr">
        <is>
          <t>·</t>
        </is>
      </c>
      <c r="B84" s="4" t="inlineStr">
        <is>
          <t>pH 4.5~6.0(이 레시피 5.0~5.5), 물 든 제품은 반드시 방부, 소량 제조·1개월 내 사용.</t>
        </is>
      </c>
    </row>
    <row r="86">
      <c r="A86" s="2" t="inlineStr">
        <is>
          <t>안전·위생 (꼭)</t>
        </is>
      </c>
    </row>
    <row r="87" ht="17" customHeight="1">
      <c r="A87" s="3" t="inlineStr">
        <is>
          <t>·</t>
        </is>
      </c>
      <c r="B87" s="4" t="inlineStr">
        <is>
          <t>작업 전 70% 알코올로 도구·용기·손 소독 — 미생물이 자가제조 최대 리스크.</t>
        </is>
      </c>
    </row>
    <row r="88" ht="17" customHeight="1">
      <c r="A88" s="3" t="inlineStr">
        <is>
          <t>·</t>
        </is>
      </c>
      <c r="B88" s="4" t="inlineStr">
        <is>
          <t>소량(50~100g)으로, 라벨·기록 철저, 가열·향 작업은 환기되는 곳에서.</t>
        </is>
      </c>
    </row>
    <row r="89" ht="32" customHeight="1">
      <c r="A89" s="3" t="inlineStr">
        <is>
          <t>·</t>
        </is>
      </c>
      <c r="B89" s="4" t="inlineStr">
        <is>
          <t>자가제조는 R&amp;D(개발)용 — 판매는 처방 완성 후 공장(OEM/ODM) 통해. 규제는 식약처 기준 재확인.</t>
        </is>
      </c>
    </row>
    <row r="91">
      <c r="B91" s="5" t="inlineStr">
        <is>
          <t>⚠ %·공정·pH는 설계·연습 기준(예시). 제조 전 TDS·pH·방부력·사용기한·전성분 검증. 화장품 표방 규칙 준수.</t>
        </is>
      </c>
    </row>
  </sheetData>
  <mergeCells count="14">
    <mergeCell ref="A26:B26"/>
    <mergeCell ref="A16:B16"/>
    <mergeCell ref="A86:B86"/>
    <mergeCell ref="A52:B52"/>
    <mergeCell ref="A59:B59"/>
    <mergeCell ref="A81:B81"/>
    <mergeCell ref="A76:B76"/>
    <mergeCell ref="A45:B45"/>
    <mergeCell ref="A32:B32"/>
    <mergeCell ref="A66:B66"/>
    <mergeCell ref="A1:B1"/>
    <mergeCell ref="A9:B9"/>
    <mergeCell ref="A3:B3"/>
    <mergeCell ref="A39:B3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2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" customWidth="1" min="1" max="1"/>
    <col width="28" customWidth="1" min="2" max="2"/>
    <col width="5" customWidth="1" min="3" max="3"/>
    <col width="6" customWidth="1" min="4" max="4"/>
    <col width="7" customWidth="1" min="5" max="5"/>
    <col width="66" customWidth="1" min="6" max="6"/>
  </cols>
  <sheetData>
    <row r="1" ht="30" customHeight="1">
      <c r="A1" s="1" t="inlineStr">
        <is>
          <t>레시피 초안 — 제품마다 왜·무엇·어떻게 (100g 배치 = %가 그램)</t>
        </is>
      </c>
    </row>
    <row r="3" ht="26" customHeight="1">
      <c r="A3" s="6" t="inlineStr">
        <is>
          <t>[① 쉬움 — 유화 없음, 첫 실험용]   시크 진정 토너   ·   토너(비유화)   ·   sebum-calm-toner</t>
        </is>
      </c>
    </row>
    <row r="4" ht="17" customHeight="1">
      <c r="A4" s="7" t="inlineStr">
        <is>
          <t>컨셉 │ 지성·예민용 무향 수분 토너. 유분 0 — 녹차·나이아신아마이드로 피지·진정.</t>
        </is>
      </c>
    </row>
    <row r="5" ht="17" customHeight="1">
      <c r="A5" s="8" t="inlineStr">
        <is>
          <t>설계 이유 (왜 이렇게 만들었나)</t>
        </is>
      </c>
    </row>
    <row r="6" ht="17" customHeight="1">
      <c r="A6" s="9" t="inlineStr">
        <is>
          <t>· 지성·예민 피부엔 기름보다 '가벼운 수분 + 진정'이 먼저다 → 유분 0으로 설계.</t>
        </is>
      </c>
    </row>
    <row r="7" ht="17" customHeight="1">
      <c r="A7" s="9" t="inlineStr">
        <is>
          <t>· 수용성 활성만 모았다: 나이아신아마이드(피지·톤)·녹차(항산화)·시카·베타글루칸(진정).</t>
        </is>
      </c>
    </row>
    <row r="8" ht="17" customHeight="1">
      <c r="A8" s="9" t="inlineStr">
        <is>
          <t>· 가열·유화가 없어 가장 쉬운 첫 실험 — 실패해도 배우는 비용이 작다.</t>
        </is>
      </c>
    </row>
    <row r="9" ht="17" customHeight="1">
      <c r="A9" s="9" t="inlineStr">
        <is>
          <t>· 피부와 같은 약산성(pH 5.0~5.5)으로 맞춰 자극을 줄인다.</t>
        </is>
      </c>
    </row>
    <row r="10" ht="17" customHeight="1">
      <c r="A10" s="7" t="inlineStr">
        <is>
          <t>특징 │ 산뜻·무유분 수분  ·  말라세지아-세이프(오일 없음)  ·  무향</t>
        </is>
      </c>
    </row>
    <row r="11">
      <c r="A11" s="10" t="inlineStr">
        <is>
          <t>원료</t>
        </is>
      </c>
      <c r="B11" s="10" t="inlineStr">
        <is>
          <t>INCI</t>
        </is>
      </c>
      <c r="C11" s="10" t="inlineStr">
        <is>
          <t>상</t>
        </is>
      </c>
      <c r="D11" s="10" t="inlineStr">
        <is>
          <t>%</t>
        </is>
      </c>
      <c r="E11" s="10" t="inlineStr">
        <is>
          <t>g(100g)</t>
        </is>
      </c>
      <c r="F11" s="10" t="inlineStr">
        <is>
          <t>이 원료가 하는 일</t>
        </is>
      </c>
    </row>
    <row r="12" ht="17" customHeight="1">
      <c r="A12" s="11" t="inlineStr">
        <is>
          <t>정제수</t>
        </is>
      </c>
      <c r="B12" s="12" t="inlineStr">
        <is>
          <t>Water</t>
        </is>
      </c>
      <c r="C12" s="13" t="inlineStr">
        <is>
          <t>A</t>
        </is>
      </c>
      <c r="D12" s="14" t="n">
        <v>83.5</v>
      </c>
      <c r="E12" s="14" t="n">
        <v>83.5</v>
      </c>
      <c r="F12" s="12" t="inlineStr">
        <is>
          <t>모든 성분을 녹이는 바탕(제품의 대부분을 차지).  ※베이스</t>
        </is>
      </c>
    </row>
    <row r="13" ht="32" customHeight="1">
      <c r="A13" s="11" t="inlineStr">
        <is>
          <t>글리세린</t>
        </is>
      </c>
      <c r="B13" s="12" t="inlineStr">
        <is>
          <t>Glycerin</t>
        </is>
      </c>
      <c r="C13" s="13" t="inlineStr">
        <is>
          <t>A</t>
        </is>
      </c>
      <c r="D13" s="14" t="n">
        <v>4</v>
      </c>
      <c r="E13" s="14" t="n">
        <v>4</v>
      </c>
      <c r="F13" s="12" t="inlineStr">
        <is>
          <t>수분을 끌어당기는 대표 보습제. 잔탄검을 미리 개는 매개로도 쓴다.</t>
        </is>
      </c>
    </row>
    <row r="14" ht="17" customHeight="1">
      <c r="A14" s="11" t="inlineStr">
        <is>
          <t>프로판디올</t>
        </is>
      </c>
      <c r="B14" s="12" t="inlineStr">
        <is>
          <t>Propanediol</t>
        </is>
      </c>
      <c r="C14" s="13" t="inlineStr">
        <is>
          <t>A</t>
        </is>
      </c>
      <c r="D14" s="14" t="n">
        <v>3</v>
      </c>
      <c r="E14" s="14" t="n">
        <v>3</v>
      </c>
      <c r="F14" s="12" t="inlineStr">
        <is>
          <t>보습하면서 방부를 거드는 보조 폴리올.</t>
        </is>
      </c>
    </row>
    <row r="15" ht="32" customHeight="1">
      <c r="A15" s="11" t="inlineStr">
        <is>
          <t>나이아신아마이드</t>
        </is>
      </c>
      <c r="B15" s="12" t="inlineStr">
        <is>
          <t>Niacinamide</t>
        </is>
      </c>
      <c r="C15" s="13" t="inlineStr">
        <is>
          <t>A</t>
        </is>
      </c>
      <c r="D15" s="14" t="n">
        <v>2</v>
      </c>
      <c r="E15" s="14" t="n">
        <v>2</v>
      </c>
      <c r="F15" s="12" t="inlineStr">
        <is>
          <t>비타민B3. 피지·모공·피부톤·장벽을 두루 돕는 대표 활성.  ※완전 용해 확인</t>
        </is>
      </c>
    </row>
    <row r="16" ht="17" customHeight="1">
      <c r="A16" s="11" t="inlineStr">
        <is>
          <t>알란토인</t>
        </is>
      </c>
      <c r="B16" s="12" t="inlineStr">
        <is>
          <t>Allantoin</t>
        </is>
      </c>
      <c r="C16" s="13" t="inlineStr">
        <is>
          <t>A</t>
        </is>
      </c>
      <c r="D16" s="14" t="n">
        <v>0.3</v>
      </c>
      <c r="E16" s="14" t="n">
        <v>0.3</v>
      </c>
      <c r="F16" s="12" t="inlineStr">
        <is>
          <t>자극을 가라앉히는 진정 성분.</t>
        </is>
      </c>
    </row>
    <row r="17" ht="17" customHeight="1">
      <c r="A17" s="11" t="inlineStr">
        <is>
          <t>베타글루칸</t>
        </is>
      </c>
      <c r="B17" s="12" t="inlineStr">
        <is>
          <t>Beta-Glucan</t>
        </is>
      </c>
      <c r="C17" s="13" t="inlineStr">
        <is>
          <t>A</t>
        </is>
      </c>
      <c r="D17" s="14" t="n">
        <v>1</v>
      </c>
      <c r="E17" s="14" t="n">
        <v>1</v>
      </c>
      <c r="F17" s="12" t="inlineStr">
        <is>
          <t>진정+수분. 예민한 피부를 달랜다.</t>
        </is>
      </c>
    </row>
    <row r="18" ht="32" customHeight="1">
      <c r="A18" s="11" t="inlineStr">
        <is>
          <t>다중 히알루론산</t>
        </is>
      </c>
      <c r="B18" s="12" t="inlineStr">
        <is>
          <t>Hyaluronic Acids</t>
        </is>
      </c>
      <c r="C18" s="13" t="inlineStr">
        <is>
          <t>A</t>
        </is>
      </c>
      <c r="D18" s="14" t="n">
        <v>0.5</v>
      </c>
      <c r="E18" s="14" t="n">
        <v>0.5</v>
      </c>
      <c r="F18" s="12" t="inlineStr">
        <is>
          <t>분자 크기별 히알루론산으로 층층이 수분 충전(유분 없이 보습).  ※미리 불려 사용</t>
        </is>
      </c>
    </row>
    <row r="19" ht="17" customHeight="1">
      <c r="A19" s="11" t="inlineStr">
        <is>
          <t>판테놀(B5)</t>
        </is>
      </c>
      <c r="B19" s="12" t="inlineStr">
        <is>
          <t>Panthenol</t>
        </is>
      </c>
      <c r="C19" s="15" t="inlineStr">
        <is>
          <t>C</t>
        </is>
      </c>
      <c r="D19" s="14" t="n">
        <v>1</v>
      </c>
      <c r="E19" s="14" t="n">
        <v>1</v>
      </c>
      <c r="F19" s="12" t="inlineStr">
        <is>
          <t>프로비타민B5. 보습·진정·장벽 회복.</t>
        </is>
      </c>
    </row>
    <row r="20" ht="32" customHeight="1">
      <c r="A20" s="11" t="inlineStr">
        <is>
          <t>녹차추출물</t>
        </is>
      </c>
      <c r="B20" s="12" t="inlineStr">
        <is>
          <t>Camellia Sinensis Leaf Extract</t>
        </is>
      </c>
      <c r="C20" s="15" t="inlineStr">
        <is>
          <t>C</t>
        </is>
      </c>
      <c r="D20" s="14" t="n">
        <v>2</v>
      </c>
      <c r="E20" s="14" t="n">
        <v>2</v>
      </c>
      <c r="F20" s="12" t="inlineStr">
        <is>
          <t>녹차 폴리페놀(EGCG). 항산화·피지·진정.  ※차광·냉장분, 갈변 주의</t>
        </is>
      </c>
    </row>
    <row r="21" ht="17" customHeight="1">
      <c r="A21" s="11" t="inlineStr">
        <is>
          <t>마데카소사이드</t>
        </is>
      </c>
      <c r="B21" s="12" t="inlineStr">
        <is>
          <t>Madecassoside</t>
        </is>
      </c>
      <c r="C21" s="15" t="inlineStr">
        <is>
          <t>C</t>
        </is>
      </c>
      <c r="D21" s="14" t="n">
        <v>1</v>
      </c>
      <c r="E21" s="14" t="n">
        <v>1</v>
      </c>
      <c r="F21" s="12" t="inlineStr">
        <is>
          <t>병풀(시카)의 진정 핵심 성분.</t>
        </is>
      </c>
    </row>
    <row r="22" ht="17" customHeight="1">
      <c r="A22" s="11" t="inlineStr">
        <is>
          <t>페녹시에탄올</t>
        </is>
      </c>
      <c r="B22" s="12" t="inlineStr">
        <is>
          <t>Phenoxyethanol</t>
        </is>
      </c>
      <c r="C22" s="15" t="inlineStr">
        <is>
          <t>C</t>
        </is>
      </c>
      <c r="D22" s="14" t="n">
        <v>0.5</v>
      </c>
      <c r="E22" s="14" t="n">
        <v>0.5</v>
      </c>
      <c r="F22" s="12" t="inlineStr">
        <is>
          <t>세균·곰팡이를 막는 방부제(물 든 제품엔 필수).</t>
        </is>
      </c>
    </row>
    <row r="23" ht="17" customHeight="1">
      <c r="A23" s="11" t="inlineStr">
        <is>
          <t>1,2-헥산다이올</t>
        </is>
      </c>
      <c r="B23" s="12" t="inlineStr">
        <is>
          <t>1,2-Hexanediol</t>
        </is>
      </c>
      <c r="C23" s="15" t="inlineStr">
        <is>
          <t>C</t>
        </is>
      </c>
      <c r="D23" s="14" t="n">
        <v>1</v>
      </c>
      <c r="E23" s="14" t="n">
        <v>1</v>
      </c>
      <c r="F23" s="12" t="inlineStr">
        <is>
          <t>방부를 돕고 보습도 하는 부스터.</t>
        </is>
      </c>
    </row>
    <row r="24" ht="32" customHeight="1">
      <c r="A24" s="11" t="inlineStr">
        <is>
          <t>구연산</t>
        </is>
      </c>
      <c r="B24" s="12" t="inlineStr">
        <is>
          <t>Citric Acid</t>
        </is>
      </c>
      <c r="C24" s="16" t="inlineStr">
        <is>
          <t>pH</t>
        </is>
      </c>
      <c r="D24" s="14" t="n">
        <v>0.2</v>
      </c>
      <c r="E24" s="14" t="n">
        <v>0.2</v>
      </c>
      <c r="F24" s="12" t="inlineStr">
        <is>
          <t>산도(pH)를 피부에 맞게 낮추는 조절제.  ※pH 5.0~5.5 q.s.</t>
        </is>
      </c>
    </row>
    <row r="25">
      <c r="A25" s="17" t="inlineStr">
        <is>
          <t>합계</t>
        </is>
      </c>
      <c r="B25" s="18" t="n"/>
      <c r="C25" s="18" t="n"/>
      <c r="D25" s="19" t="n">
        <v>100</v>
      </c>
      <c r="E25" s="19" t="n">
        <v>100</v>
      </c>
      <c r="F25" s="18" t="n"/>
    </row>
    <row r="26" ht="17" customHeight="1">
      <c r="A26" s="8" t="inlineStr">
        <is>
          <t>만드는 법</t>
        </is>
      </c>
    </row>
    <row r="27" ht="32" customHeight="1">
      <c r="A27" s="9" t="inlineStr">
        <is>
          <t>① 준비: 도구·용기·손을 70% 알코올로 소독. 100g 배치면 전량이 수상이라 250mL 비커 1개(계량·혼합 겸용) + 소량 계량용 작은 종이컵/유산지. %가 곧 그램(83.5% = 83.5g).</t>
        </is>
      </c>
    </row>
    <row r="28" ht="17" customHeight="1">
      <c r="A28" s="9" t="inlineStr">
        <is>
          <t>★ 계량·비커 (처음이면 꼭 — 100g 배치 기준):</t>
        </is>
      </c>
    </row>
    <row r="29" ht="32" customHeight="1">
      <c r="A29" s="9" t="inlineStr">
        <is>
          <t>– 저울 2개를 나눠 쓴다: 정제수·오일처럼 많은 양은 벤치저울(0.1g 단위), 활성·검·보존제·향처럼 1% 이하 소량은 정밀저울(0.01g 단위). 소량을 큰 저울로 재면 오차가 처방을 망친다.</t>
        </is>
      </c>
    </row>
    <row r="30" ht="32" customHeight="1">
      <c r="A30" s="9" t="inlineStr">
        <is>
          <t>– 분말·점성 원료: 저울에 유산지(칭량지)를 깔고 → 영점(TARE 버튼) → 원료를 담는다. 글리세린·오일 같은 액체는 '받을 비커'를 올리고 TARE 후 바로 부어 넣는다(유산지에 눌어붙음 방지).</t>
        </is>
      </c>
    </row>
    <row r="31" ht="17" customHeight="1">
      <c r="A31" s="9" t="inlineStr">
        <is>
          <t>– 정제수는 '맨 마지막에 100g을 맞추는 잔량'으로 넣는다(다른 걸 다 더하고 남는 양).</t>
        </is>
      </c>
    </row>
    <row r="32" ht="17" customHeight="1">
      <c r="A32" s="9" t="inlineStr">
        <is>
          <t>– 비커 크기 = 내용물의 약 2~2.5배(가열·교반 때 넘침 방지). 200g 배치면 한 단계 큰 비커로.</t>
        </is>
      </c>
    </row>
    <row r="33" ht="17" customHeight="1">
      <c r="A33" s="9" t="inlineStr">
        <is>
          <t>– 흘리면 닦고 다시. 통에 손·젖은 도구 넣지 않기(오염). 소량은 깨끗한 스패출러로.</t>
        </is>
      </c>
    </row>
    <row r="34" ht="32" customHeight="1">
      <c r="A34" s="9" t="inlineStr">
        <is>
          <t>② 히알루론산(분말)은 미리 불린다: 수상용 정제수 일부에 솔솔 뿌려 1~2시간(되도록 전날) 두면 투명 젤처럼 된다. 바로 넣으면 안 녹아 뭉친다.</t>
        </is>
      </c>
    </row>
    <row r="35" ht="32" customHeight="1">
      <c r="A35" s="9" t="inlineStr">
        <is>
          <t>③ (젤·앰플) 잔탄검 선분산: 잔탄검을 글리세린(+프로판디올)에 넣고 막대로 개어 '된죽'을 만든다. 이 상태로 정제수에 부으며 저어야 피시아이(쌀알 덩어리)가 안 생긴다.</t>
        </is>
      </c>
    </row>
    <row r="36" ht="47" customHeight="1">
      <c r="A36" s="9" t="inlineStr">
        <is>
          <t>④ 나머지 정제수에 수용성 활성을 하나씩 녹인다: 나이아신아마이드→알란토인→베타글루칸→아연PCA 순. 알란토인은 잘 안 녹으니 충분히 저어 완전 용해(미세 가루가 안 보일 때까지). HS5Pro 자석교반으로 저으면 편하고, 안 녹으면 40~45℃로 살짝 데워도 된다.</t>
        </is>
      </c>
    </row>
    <row r="37" ht="17" customHeight="1">
      <c r="A37" s="9" t="inlineStr">
        <is>
          <t>⑤ ③과 ④를 합쳐 균일하게 섞는다(맑고 덩어리 없는 상태).</t>
        </is>
      </c>
    </row>
    <row r="38" ht="32" customHeight="1">
      <c r="A38" s="9" t="inlineStr">
        <is>
          <t>⑥ 40℃ 이하로 식었으면 열에 약한 냉각군을 넣는다: 판테놀·마데카소사이드·녹차추출물·방부제(페녹시에탄올+헥산다이올). 녹차는 갈변 전 마지막에.</t>
        </is>
      </c>
    </row>
    <row r="39" ht="32" customHeight="1">
      <c r="A39" s="9" t="inlineStr">
        <is>
          <t>⑦ pH 측정 → 목표 5.0~5.5. 높으면 구연산 희석액(물:구연산≈9:1)을 한 방울씩 떨어뜨리며 다시 측정. 한 번에 많이 넣지 말 것(확 떨어진다).</t>
        </is>
      </c>
    </row>
    <row r="40" ht="32" customHeight="1">
      <c r="A40" s="9" t="inlineStr">
        <is>
          <t>⑧ (젤) 점도 확인: 묽으면 잔탄검을 0.1%씩만 더(③처럼 선분산). 저을 때 생긴 기포는 1~2시간 정치하면 빠진다.</t>
        </is>
      </c>
    </row>
    <row r="41" ht="17" customHeight="1">
      <c r="A41" s="9" t="inlineStr">
        <is>
          <t>⑨ 소독한 용기에 충전. 라벨에 날짜·버전. 1개월 내 사용.</t>
        </is>
      </c>
    </row>
    <row r="42" ht="17" customHeight="1">
      <c r="A42" s="9" t="inlineStr">
        <is>
          <t>★ pH 스트립 읽는 법:</t>
        </is>
      </c>
    </row>
    <row r="43" ht="32" customHeight="1">
      <c r="A43" s="9" t="inlineStr">
        <is>
          <t>– 스트립을 액에 1초 담갔다 빼고, 10~15초 뒤(설명서 시간) 색이 멈췄을 때 '자연광'에서 통에 인쇄된 색표와 맞춘다(형광등 아래는 색이 왜곡된다).</t>
        </is>
      </c>
    </row>
    <row r="44" ht="32" customHeight="1">
      <c r="A44" s="9" t="inlineStr">
        <is>
          <t>– 색표 두 칸 사이로 보이면 중간값으로 읽는다(예: 5와 5.5 사이면 ≈5.2). 0.2~0.5 눈금의 정밀 스트립을 권장.</t>
        </is>
      </c>
    </row>
    <row r="45" ht="17" customHeight="1">
      <c r="A45" s="9" t="inlineStr">
        <is>
          <t>– 크림·젤처럼 되직해 색이 안 보이면 정제수와 1:1로 풀어서 잰다(묽혀도 pH는 거의 그대로).</t>
        </is>
      </c>
    </row>
    <row r="46" ht="17" customHeight="1">
      <c r="A46" s="9" t="inlineStr">
        <is>
          <t>– 색이 금세 바래니 빼서 오래 두지 말고 바로 판독. 젖은 손·금속이 스트립에 닿지 않게.</t>
        </is>
      </c>
    </row>
    <row r="47" ht="17" customHeight="1">
      <c r="A47" s="9" t="inlineStr">
        <is>
          <t>– 목표 5.0~5.5. 더 정확히는 pH 미터(보정액으로 교정 후 사용). 스트립은 ±0.3 오차가 정상이다.</t>
        </is>
      </c>
    </row>
    <row r="48" ht="17" customHeight="1">
      <c r="A48" s="9" t="inlineStr">
        <is>
          <t>★ 흔한 실수: HA 안 불림 / 잔탄 피시아이 / pH 측정 생략 / 방부제 빠뜨림(물 든 제품은 필수).</t>
        </is>
      </c>
    </row>
    <row r="50" ht="26" customHeight="1">
      <c r="A50" s="6" t="inlineStr">
        <is>
          <t>[② 토너 변주 — 활성 농도↑, 유화 없음]   진정 밸런스 앰플   ·   앰플(비유화·고농축)   ·   sebum-calm-ampoule</t>
        </is>
      </c>
    </row>
    <row r="51" ht="17" customHeight="1">
      <c r="A51" s="7" t="inlineStr">
        <is>
          <t>컨셉 │ 고농축 수분·진정·피지 앰플. 토너와 같은 공정, 활성만 끌어올린 무유분 세럼.</t>
        </is>
      </c>
    </row>
    <row r="52" ht="17" customHeight="1">
      <c r="A52" s="8" t="inlineStr">
        <is>
          <t>설계 이유 (왜 이렇게 만들었나)</t>
        </is>
      </c>
    </row>
    <row r="53" ht="17" customHeight="1">
      <c r="A53" s="9" t="inlineStr">
        <is>
          <t>· 토너와 '같은 물 베이스'지만 활성 농도를 끌어올린 집중 케어 버전.</t>
        </is>
      </c>
    </row>
    <row r="54" ht="17" customHeight="1">
      <c r="A54" s="9" t="inlineStr">
        <is>
          <t>· 나이아신아마이드 4%·베타글루칸 2% 등 핵심만 농축 — 유분 없이 무겁지 않게.</t>
        </is>
      </c>
    </row>
    <row r="55" ht="17" customHeight="1">
      <c r="A55" s="9" t="inlineStr">
        <is>
          <t>· 잔탄검 아주 소량으로 '세럼 같은' 약간의 점도를 준다.</t>
        </is>
      </c>
    </row>
    <row r="56" ht="17" customHeight="1">
      <c r="A56" s="9" t="inlineStr">
        <is>
          <t>· 민감하면 활성%를 낮게 시작해 내 피부 반응을 보며 올린다.</t>
        </is>
      </c>
    </row>
    <row r="57" ht="17" customHeight="1">
      <c r="A57" s="7" t="inlineStr">
        <is>
          <t>특징 │ 고농축 진정·피지  ·  무유분·가벼운 세럼  ·  말라세지아-세이프  ·  무향</t>
        </is>
      </c>
    </row>
    <row r="58">
      <c r="A58" s="10" t="inlineStr">
        <is>
          <t>원료</t>
        </is>
      </c>
      <c r="B58" s="10" t="inlineStr">
        <is>
          <t>INCI</t>
        </is>
      </c>
      <c r="C58" s="10" t="inlineStr">
        <is>
          <t>상</t>
        </is>
      </c>
      <c r="D58" s="10" t="inlineStr">
        <is>
          <t>%</t>
        </is>
      </c>
      <c r="E58" s="10" t="inlineStr">
        <is>
          <t>g(100g)</t>
        </is>
      </c>
      <c r="F58" s="10" t="inlineStr">
        <is>
          <t>이 원료가 하는 일</t>
        </is>
      </c>
    </row>
    <row r="59" ht="17" customHeight="1">
      <c r="A59" s="11" t="inlineStr">
        <is>
          <t>정제수</t>
        </is>
      </c>
      <c r="B59" s="12" t="inlineStr">
        <is>
          <t>Water</t>
        </is>
      </c>
      <c r="C59" s="13" t="inlineStr">
        <is>
          <t>A</t>
        </is>
      </c>
      <c r="D59" s="14" t="n">
        <v>78.8</v>
      </c>
      <c r="E59" s="14" t="n">
        <v>78.8</v>
      </c>
      <c r="F59" s="12" t="inlineStr">
        <is>
          <t>모든 성분을 녹이는 바탕(제품의 대부분을 차지).  ※베이스</t>
        </is>
      </c>
    </row>
    <row r="60" ht="32" customHeight="1">
      <c r="A60" s="11" t="inlineStr">
        <is>
          <t>글리세린</t>
        </is>
      </c>
      <c r="B60" s="12" t="inlineStr">
        <is>
          <t>Glycerin</t>
        </is>
      </c>
      <c r="C60" s="13" t="inlineStr">
        <is>
          <t>A</t>
        </is>
      </c>
      <c r="D60" s="14" t="n">
        <v>4</v>
      </c>
      <c r="E60" s="14" t="n">
        <v>4</v>
      </c>
      <c r="F60" s="12" t="inlineStr">
        <is>
          <t>수분을 끌어당기는 대표 보습제. 잔탄검을 미리 개는 매개로도 쓴다.</t>
        </is>
      </c>
    </row>
    <row r="61" ht="17" customHeight="1">
      <c r="A61" s="11" t="inlineStr">
        <is>
          <t>프로판디올</t>
        </is>
      </c>
      <c r="B61" s="12" t="inlineStr">
        <is>
          <t>Propanediol</t>
        </is>
      </c>
      <c r="C61" s="13" t="inlineStr">
        <is>
          <t>A</t>
        </is>
      </c>
      <c r="D61" s="14" t="n">
        <v>3</v>
      </c>
      <c r="E61" s="14" t="n">
        <v>3</v>
      </c>
      <c r="F61" s="12" t="inlineStr">
        <is>
          <t>보습하면서 방부를 거드는 보조 폴리올.</t>
        </is>
      </c>
    </row>
    <row r="62" ht="32" customHeight="1">
      <c r="A62" s="11" t="inlineStr">
        <is>
          <t>나이아신아마이드</t>
        </is>
      </c>
      <c r="B62" s="12" t="inlineStr">
        <is>
          <t>Niacinamide</t>
        </is>
      </c>
      <c r="C62" s="13" t="inlineStr">
        <is>
          <t>A</t>
        </is>
      </c>
      <c r="D62" s="14" t="n">
        <v>4</v>
      </c>
      <c r="E62" s="14" t="n">
        <v>4</v>
      </c>
      <c r="F62" s="12" t="inlineStr">
        <is>
          <t>비타민B3. 피지·모공·피부톤·장벽을 두루 돕는 대표 활성.  ※고농축(민감 시 2%부터)</t>
        </is>
      </c>
    </row>
    <row r="63" ht="17" customHeight="1">
      <c r="A63" s="11" t="inlineStr">
        <is>
          <t>아연피카</t>
        </is>
      </c>
      <c r="B63" s="12" t="inlineStr">
        <is>
          <t>Zinc PCA</t>
        </is>
      </c>
      <c r="C63" s="13" t="inlineStr">
        <is>
          <t>A</t>
        </is>
      </c>
      <c r="D63" s="14" t="n">
        <v>1</v>
      </c>
      <c r="E63" s="14" t="n">
        <v>1</v>
      </c>
      <c r="F63" s="12" t="inlineStr">
        <is>
          <t>피지(기름기)를 조절해 번들거림을 줄인다.  ※피지</t>
        </is>
      </c>
    </row>
    <row r="64" ht="17" customHeight="1">
      <c r="A64" s="11" t="inlineStr">
        <is>
          <t>알란토인</t>
        </is>
      </c>
      <c r="B64" s="12" t="inlineStr">
        <is>
          <t>Allantoin</t>
        </is>
      </c>
      <c r="C64" s="13" t="inlineStr">
        <is>
          <t>A</t>
        </is>
      </c>
      <c r="D64" s="14" t="n">
        <v>0.3</v>
      </c>
      <c r="E64" s="14" t="n">
        <v>0.3</v>
      </c>
      <c r="F64" s="12" t="inlineStr">
        <is>
          <t>자극을 가라앉히는 진정 성분.</t>
        </is>
      </c>
    </row>
    <row r="65" ht="17" customHeight="1">
      <c r="A65" s="11" t="inlineStr">
        <is>
          <t>베타글루칸</t>
        </is>
      </c>
      <c r="B65" s="12" t="inlineStr">
        <is>
          <t>Beta-Glucan</t>
        </is>
      </c>
      <c r="C65" s="13" t="inlineStr">
        <is>
          <t>A</t>
        </is>
      </c>
      <c r="D65" s="14" t="n">
        <v>2</v>
      </c>
      <c r="E65" s="14" t="n">
        <v>2</v>
      </c>
      <c r="F65" s="12" t="inlineStr">
        <is>
          <t>진정+수분. 예민한 피부를 달랜다.  ※진정 고농축</t>
        </is>
      </c>
    </row>
    <row r="66" ht="32" customHeight="1">
      <c r="A66" s="11" t="inlineStr">
        <is>
          <t>다중 히알루론산</t>
        </is>
      </c>
      <c r="B66" s="12" t="inlineStr">
        <is>
          <t>Hyaluronic Acids</t>
        </is>
      </c>
      <c r="C66" s="13" t="inlineStr">
        <is>
          <t>A</t>
        </is>
      </c>
      <c r="D66" s="14" t="n">
        <v>1</v>
      </c>
      <c r="E66" s="14" t="n">
        <v>1</v>
      </c>
      <c r="F66" s="12" t="inlineStr">
        <is>
          <t>분자 크기별 히알루론산으로 층층이 수분 충전(유분 없이 보습).  ※미리 불려 사용</t>
        </is>
      </c>
    </row>
    <row r="67" ht="32" customHeight="1">
      <c r="A67" s="11" t="inlineStr">
        <is>
          <t>잔탄검</t>
        </is>
      </c>
      <c r="B67" s="12" t="inlineStr">
        <is>
          <t>Xanthan Gum</t>
        </is>
      </c>
      <c r="C67" s="13" t="inlineStr">
        <is>
          <t>A</t>
        </is>
      </c>
      <c r="D67" s="14" t="n">
        <v>0.3</v>
      </c>
      <c r="E67" s="14" t="n">
        <v>0.3</v>
      </c>
      <c r="F67" s="12" t="inlineStr">
        <is>
          <t>천연 점증제. 젤·에멀전에 점도와 안정성을 준다(글리세린에 선분산).  ※앰플 점도(글리세린 선분산)</t>
        </is>
      </c>
    </row>
    <row r="68" ht="17" customHeight="1">
      <c r="A68" s="11" t="inlineStr">
        <is>
          <t>마데카소사이드</t>
        </is>
      </c>
      <c r="B68" s="12" t="inlineStr">
        <is>
          <t>Madecassoside</t>
        </is>
      </c>
      <c r="C68" s="15" t="inlineStr">
        <is>
          <t>C</t>
        </is>
      </c>
      <c r="D68" s="14" t="n">
        <v>1</v>
      </c>
      <c r="E68" s="14" t="n">
        <v>1</v>
      </c>
      <c r="F68" s="12" t="inlineStr">
        <is>
          <t>병풀(시카)의 진정 핵심 성분.</t>
        </is>
      </c>
    </row>
    <row r="69" ht="17" customHeight="1">
      <c r="A69" s="11" t="inlineStr">
        <is>
          <t>판테놀(B5)</t>
        </is>
      </c>
      <c r="B69" s="12" t="inlineStr">
        <is>
          <t>Panthenol</t>
        </is>
      </c>
      <c r="C69" s="15" t="inlineStr">
        <is>
          <t>C</t>
        </is>
      </c>
      <c r="D69" s="14" t="n">
        <v>1</v>
      </c>
      <c r="E69" s="14" t="n">
        <v>1</v>
      </c>
      <c r="F69" s="12" t="inlineStr">
        <is>
          <t>프로비타민B5. 보습·진정·장벽 회복.</t>
        </is>
      </c>
    </row>
    <row r="70" ht="17" customHeight="1">
      <c r="A70" s="11" t="inlineStr">
        <is>
          <t>녹차추출물</t>
        </is>
      </c>
      <c r="B70" s="12" t="inlineStr">
        <is>
          <t>Camellia Sinensis Leaf Extract</t>
        </is>
      </c>
      <c r="C70" s="15" t="inlineStr">
        <is>
          <t>C</t>
        </is>
      </c>
      <c r="D70" s="14" t="n">
        <v>2</v>
      </c>
      <c r="E70" s="14" t="n">
        <v>2</v>
      </c>
      <c r="F70" s="12" t="inlineStr">
        <is>
          <t>녹차 폴리페놀(EGCG). 항산화·피지·진정.</t>
        </is>
      </c>
    </row>
    <row r="71" ht="17" customHeight="1">
      <c r="A71" s="11" t="inlineStr">
        <is>
          <t>페녹시에탄올</t>
        </is>
      </c>
      <c r="B71" s="12" t="inlineStr">
        <is>
          <t>Phenoxyethanol</t>
        </is>
      </c>
      <c r="C71" s="15" t="inlineStr">
        <is>
          <t>C</t>
        </is>
      </c>
      <c r="D71" s="14" t="n">
        <v>0.5</v>
      </c>
      <c r="E71" s="14" t="n">
        <v>0.5</v>
      </c>
      <c r="F71" s="12" t="inlineStr">
        <is>
          <t>세균·곰팡이를 막는 방부제(물 든 제품엔 필수).</t>
        </is>
      </c>
    </row>
    <row r="72" ht="17" customHeight="1">
      <c r="A72" s="11" t="inlineStr">
        <is>
          <t>1,2-헥산다이올</t>
        </is>
      </c>
      <c r="B72" s="12" t="inlineStr">
        <is>
          <t>1,2-Hexanediol</t>
        </is>
      </c>
      <c r="C72" s="15" t="inlineStr">
        <is>
          <t>C</t>
        </is>
      </c>
      <c r="D72" s="14" t="n">
        <v>1</v>
      </c>
      <c r="E72" s="14" t="n">
        <v>1</v>
      </c>
      <c r="F72" s="12" t="inlineStr">
        <is>
          <t>방부를 돕고 보습도 하는 부스터.</t>
        </is>
      </c>
    </row>
    <row r="73" ht="32" customHeight="1">
      <c r="A73" s="11" t="inlineStr">
        <is>
          <t>구연산</t>
        </is>
      </c>
      <c r="B73" s="12" t="inlineStr">
        <is>
          <t>Citric Acid</t>
        </is>
      </c>
      <c r="C73" s="16" t="inlineStr">
        <is>
          <t>pH</t>
        </is>
      </c>
      <c r="D73" s="14" t="n">
        <v>0.1</v>
      </c>
      <c r="E73" s="14" t="n">
        <v>0.1</v>
      </c>
      <c r="F73" s="12" t="inlineStr">
        <is>
          <t>산도(pH)를 피부에 맞게 낮추는 조절제.  ※pH 5.0~5.5 q.s.</t>
        </is>
      </c>
    </row>
    <row r="74">
      <c r="A74" s="17" t="inlineStr">
        <is>
          <t>합계</t>
        </is>
      </c>
      <c r="B74" s="18" t="n"/>
      <c r="C74" s="18" t="n"/>
      <c r="D74" s="19" t="n">
        <v>100</v>
      </c>
      <c r="E74" s="19" t="n">
        <v>100</v>
      </c>
      <c r="F74" s="18" t="n"/>
    </row>
    <row r="75" ht="17" customHeight="1">
      <c r="A75" s="8" t="inlineStr">
        <is>
          <t>만드는 법</t>
        </is>
      </c>
    </row>
    <row r="76" ht="32" customHeight="1">
      <c r="A76" s="9" t="inlineStr">
        <is>
          <t>① 준비: 도구·용기·손을 70% 알코올로 소독. 100g 배치면 전량이 수상이라 250mL 비커 1개(계량·혼합 겸용) + 소량 계량용 작은 종이컵/유산지. %가 곧 그램(83.5% = 83.5g).</t>
        </is>
      </c>
    </row>
    <row r="77" ht="17" customHeight="1">
      <c r="A77" s="9" t="inlineStr">
        <is>
          <t>★ 계량·비커 (처음이면 꼭 — 100g 배치 기준):</t>
        </is>
      </c>
    </row>
    <row r="78" ht="32" customHeight="1">
      <c r="A78" s="9" t="inlineStr">
        <is>
          <t>– 저울 2개를 나눠 쓴다: 정제수·오일처럼 많은 양은 벤치저울(0.1g 단위), 활성·검·보존제·향처럼 1% 이하 소량은 정밀저울(0.01g 단위). 소량을 큰 저울로 재면 오차가 처방을 망친다.</t>
        </is>
      </c>
    </row>
    <row r="79" ht="32" customHeight="1">
      <c r="A79" s="9" t="inlineStr">
        <is>
          <t>– 분말·점성 원료: 저울에 유산지(칭량지)를 깔고 → 영점(TARE 버튼) → 원료를 담는다. 글리세린·오일 같은 액체는 '받을 비커'를 올리고 TARE 후 바로 부어 넣는다(유산지에 눌어붙음 방지).</t>
        </is>
      </c>
    </row>
    <row r="80" ht="17" customHeight="1">
      <c r="A80" s="9" t="inlineStr">
        <is>
          <t>– 정제수는 '맨 마지막에 100g을 맞추는 잔량'으로 넣는다(다른 걸 다 더하고 남는 양).</t>
        </is>
      </c>
    </row>
    <row r="81" ht="17" customHeight="1">
      <c r="A81" s="9" t="inlineStr">
        <is>
          <t>– 비커 크기 = 내용물의 약 2~2.5배(가열·교반 때 넘침 방지). 200g 배치면 한 단계 큰 비커로.</t>
        </is>
      </c>
    </row>
    <row r="82" ht="17" customHeight="1">
      <c r="A82" s="9" t="inlineStr">
        <is>
          <t>– 흘리면 닦고 다시. 통에 손·젖은 도구 넣지 않기(오염). 소량은 깨끗한 스패출러로.</t>
        </is>
      </c>
    </row>
    <row r="83" ht="32" customHeight="1">
      <c r="A83" s="9" t="inlineStr">
        <is>
          <t>② 히알루론산(분말)은 미리 불린다: 수상용 정제수 일부에 솔솔 뿌려 1~2시간(되도록 전날) 두면 투명 젤처럼 된다. 바로 넣으면 안 녹아 뭉친다.</t>
        </is>
      </c>
    </row>
    <row r="84" ht="32" customHeight="1">
      <c r="A84" s="9" t="inlineStr">
        <is>
          <t>③ (젤·앰플) 잔탄검 선분산: 잔탄검을 글리세린(+프로판디올)에 넣고 막대로 개어 '된죽'을 만든다. 이 상태로 정제수에 부으며 저어야 피시아이(쌀알 덩어리)가 안 생긴다.</t>
        </is>
      </c>
    </row>
    <row r="85" ht="47" customHeight="1">
      <c r="A85" s="9" t="inlineStr">
        <is>
          <t>④ 나머지 정제수에 수용성 활성을 하나씩 녹인다: 나이아신아마이드→알란토인→베타글루칸→아연PCA 순. 알란토인은 잘 안 녹으니 충분히 저어 완전 용해(미세 가루가 안 보일 때까지). HS5Pro 자석교반으로 저으면 편하고, 안 녹으면 40~45℃로 살짝 데워도 된다.</t>
        </is>
      </c>
    </row>
    <row r="86" ht="17" customHeight="1">
      <c r="A86" s="9" t="inlineStr">
        <is>
          <t>⑤ ③과 ④를 합쳐 균일하게 섞는다(맑고 덩어리 없는 상태).</t>
        </is>
      </c>
    </row>
    <row r="87" ht="32" customHeight="1">
      <c r="A87" s="9" t="inlineStr">
        <is>
          <t>⑥ 40℃ 이하로 식었으면 열에 약한 냉각군을 넣는다: 판테놀·마데카소사이드·녹차추출물·방부제(페녹시에탄올+헥산다이올). 녹차는 갈변 전 마지막에.</t>
        </is>
      </c>
    </row>
    <row r="88" ht="32" customHeight="1">
      <c r="A88" s="9" t="inlineStr">
        <is>
          <t>⑦ pH 측정 → 목표 5.0~5.5. 높으면 구연산 희석액(물:구연산≈9:1)을 한 방울씩 떨어뜨리며 다시 측정. 한 번에 많이 넣지 말 것(확 떨어진다).</t>
        </is>
      </c>
    </row>
    <row r="89" ht="32" customHeight="1">
      <c r="A89" s="9" t="inlineStr">
        <is>
          <t>⑧ (젤) 점도 확인: 묽으면 잔탄검을 0.1%씩만 더(③처럼 선분산). 저을 때 생긴 기포는 1~2시간 정치하면 빠진다.</t>
        </is>
      </c>
    </row>
    <row r="90" ht="17" customHeight="1">
      <c r="A90" s="9" t="inlineStr">
        <is>
          <t>⑨ 소독한 용기에 충전. 라벨에 날짜·버전. 1개월 내 사용.</t>
        </is>
      </c>
    </row>
    <row r="91" ht="17" customHeight="1">
      <c r="A91" s="9" t="inlineStr">
        <is>
          <t>★ pH 스트립 읽는 법:</t>
        </is>
      </c>
    </row>
    <row r="92" ht="32" customHeight="1">
      <c r="A92" s="9" t="inlineStr">
        <is>
          <t>– 스트립을 액에 1초 담갔다 빼고, 10~15초 뒤(설명서 시간) 색이 멈췄을 때 '자연광'에서 통에 인쇄된 색표와 맞춘다(형광등 아래는 색이 왜곡된다).</t>
        </is>
      </c>
    </row>
    <row r="93" ht="32" customHeight="1">
      <c r="A93" s="9" t="inlineStr">
        <is>
          <t>– 색표 두 칸 사이로 보이면 중간값으로 읽는다(예: 5와 5.5 사이면 ≈5.2). 0.2~0.5 눈금의 정밀 스트립을 권장.</t>
        </is>
      </c>
    </row>
    <row r="94" ht="17" customHeight="1">
      <c r="A94" s="9" t="inlineStr">
        <is>
          <t>– 크림·젤처럼 되직해 색이 안 보이면 정제수와 1:1로 풀어서 잰다(묽혀도 pH는 거의 그대로).</t>
        </is>
      </c>
    </row>
    <row r="95" ht="17" customHeight="1">
      <c r="A95" s="9" t="inlineStr">
        <is>
          <t>– 색이 금세 바래니 빼서 오래 두지 말고 바로 판독. 젖은 손·금속이 스트립에 닿지 않게.</t>
        </is>
      </c>
    </row>
    <row r="96" ht="17" customHeight="1">
      <c r="A96" s="9" t="inlineStr">
        <is>
          <t>– 목표 5.0~5.5. 더 정확히는 pH 미터(보정액으로 교정 후 사용). 스트립은 ±0.3 오차가 정상이다.</t>
        </is>
      </c>
    </row>
    <row r="97" ht="17" customHeight="1">
      <c r="A97" s="9" t="inlineStr">
        <is>
          <t>★ 흔한 실수: HA 안 불림 / 잔탄 피시아이 / pH 측정 생략 / 방부제 빠뜨림(물 든 제품은 필수).</t>
        </is>
      </c>
    </row>
    <row r="99" ht="26" customHeight="1">
      <c r="A99" s="6" t="inlineStr">
        <is>
          <t>[③ 점증 연습 — 잔탄검 분산]   진정 수분 젤   ·   젤(비유화·점증)   ·   soothing-gel</t>
        </is>
      </c>
    </row>
    <row r="100" ht="17" customHeight="1">
      <c r="A100" s="7" t="inlineStr">
        <is>
          <t>컨셉 │ 끈적임 적은 수분 젤. 잔탄검 점증 감각 익히기(글리세린 선분산 필수).</t>
        </is>
      </c>
    </row>
    <row r="101" ht="17" customHeight="1">
      <c r="A101" s="8" t="inlineStr">
        <is>
          <t>설계 이유 (왜 이렇게 만들었나)</t>
        </is>
      </c>
    </row>
    <row r="102" ht="17" customHeight="1">
      <c r="A102" s="9" t="inlineStr">
        <is>
          <t>· 오일 없이 '점증제(잔탄검)'만으로 젤 텍스처를 만드는 연습.</t>
        </is>
      </c>
    </row>
    <row r="103" ht="17" customHeight="1">
      <c r="A103" s="9" t="inlineStr">
        <is>
          <t>· 핵심 기술: 잔탄검을 글리세린에 미리 개어 넣기 — 물에 바로 넣으면 덩어리진다.</t>
        </is>
      </c>
    </row>
    <row r="104" ht="17" customHeight="1">
      <c r="A104" s="9" t="inlineStr">
        <is>
          <t>· 끈적임이 적어 지성 피부가 쓰기 좋은 수분 공급형.</t>
        </is>
      </c>
    </row>
    <row r="105" ht="17" customHeight="1">
      <c r="A105" s="9" t="inlineStr">
        <is>
          <t>· 점도는 잔탄검 양으로 조절한다(0.1%씩).</t>
        </is>
      </c>
    </row>
    <row r="106" ht="17" customHeight="1">
      <c r="A106" s="7" t="inlineStr">
        <is>
          <t>특징 │ 가벼운 젤 텍스처  ·  무유분  ·  점증 학습용</t>
        </is>
      </c>
    </row>
    <row r="107">
      <c r="A107" s="10" t="inlineStr">
        <is>
          <t>원료</t>
        </is>
      </c>
      <c r="B107" s="10" t="inlineStr">
        <is>
          <t>INCI</t>
        </is>
      </c>
      <c r="C107" s="10" t="inlineStr">
        <is>
          <t>상</t>
        </is>
      </c>
      <c r="D107" s="10" t="inlineStr">
        <is>
          <t>%</t>
        </is>
      </c>
      <c r="E107" s="10" t="inlineStr">
        <is>
          <t>g(100g)</t>
        </is>
      </c>
      <c r="F107" s="10" t="inlineStr">
        <is>
          <t>이 원료가 하는 일</t>
        </is>
      </c>
    </row>
    <row r="108" ht="17" customHeight="1">
      <c r="A108" s="11" t="inlineStr">
        <is>
          <t>정제수</t>
        </is>
      </c>
      <c r="B108" s="12" t="inlineStr">
        <is>
          <t>Water</t>
        </is>
      </c>
      <c r="C108" s="13" t="inlineStr">
        <is>
          <t>A</t>
        </is>
      </c>
      <c r="D108" s="14" t="n">
        <v>84.90000000000001</v>
      </c>
      <c r="E108" s="14" t="n">
        <v>84.90000000000001</v>
      </c>
      <c r="F108" s="12" t="inlineStr">
        <is>
          <t>모든 성분을 녹이는 바탕(제품의 대부분을 차지).  ※베이스</t>
        </is>
      </c>
    </row>
    <row r="109" ht="32" customHeight="1">
      <c r="A109" s="11" t="inlineStr">
        <is>
          <t>글리세린</t>
        </is>
      </c>
      <c r="B109" s="12" t="inlineStr">
        <is>
          <t>Glycerin</t>
        </is>
      </c>
      <c r="C109" s="13" t="inlineStr">
        <is>
          <t>A</t>
        </is>
      </c>
      <c r="D109" s="14" t="n">
        <v>4</v>
      </c>
      <c r="E109" s="14" t="n">
        <v>4</v>
      </c>
      <c r="F109" s="12" t="inlineStr">
        <is>
          <t>수분을 끌어당기는 대표 보습제. 잔탄검을 미리 개는 매개로도 쓴다.  ※잔탄검 선분산 매개</t>
        </is>
      </c>
    </row>
    <row r="110" ht="17" customHeight="1">
      <c r="A110" s="11" t="inlineStr">
        <is>
          <t>프로판디올</t>
        </is>
      </c>
      <c r="B110" s="12" t="inlineStr">
        <is>
          <t>Propanediol</t>
        </is>
      </c>
      <c r="C110" s="13" t="inlineStr">
        <is>
          <t>A</t>
        </is>
      </c>
      <c r="D110" s="14" t="n">
        <v>3</v>
      </c>
      <c r="E110" s="14" t="n">
        <v>3</v>
      </c>
      <c r="F110" s="12" t="inlineStr">
        <is>
          <t>보습하면서 방부를 거드는 보조 폴리올.</t>
        </is>
      </c>
    </row>
    <row r="111" ht="32" customHeight="1">
      <c r="A111" s="11" t="inlineStr">
        <is>
          <t>잔탄검</t>
        </is>
      </c>
      <c r="B111" s="12" t="inlineStr">
        <is>
          <t>Xanthan Gum</t>
        </is>
      </c>
      <c r="C111" s="13" t="inlineStr">
        <is>
          <t>A</t>
        </is>
      </c>
      <c r="D111" s="14" t="n">
        <v>0.6</v>
      </c>
      <c r="E111" s="14" t="n">
        <v>0.6</v>
      </c>
      <c r="F111" s="12" t="inlineStr">
        <is>
          <t>천연 점증제. 젤·에멀전에 점도와 안정성을 준다(글리세린에 선분산).  ※★글리세린에 개어 넣기(덩어리 방지)</t>
        </is>
      </c>
    </row>
    <row r="112" ht="17" customHeight="1">
      <c r="A112" s="11" t="inlineStr">
        <is>
          <t>나이아신아마이드</t>
        </is>
      </c>
      <c r="B112" s="12" t="inlineStr">
        <is>
          <t>Niacinamide</t>
        </is>
      </c>
      <c r="C112" s="13" t="inlineStr">
        <is>
          <t>A</t>
        </is>
      </c>
      <c r="D112" s="14" t="n">
        <v>2</v>
      </c>
      <c r="E112" s="14" t="n">
        <v>2</v>
      </c>
      <c r="F112" s="12" t="inlineStr">
        <is>
          <t>비타민B3. 피지·모공·피부톤·장벽을 두루 돕는 대표 활성.</t>
        </is>
      </c>
    </row>
    <row r="113" ht="17" customHeight="1">
      <c r="A113" s="11" t="inlineStr">
        <is>
          <t>알란토인</t>
        </is>
      </c>
      <c r="B113" s="12" t="inlineStr">
        <is>
          <t>Allantoin</t>
        </is>
      </c>
      <c r="C113" s="13" t="inlineStr">
        <is>
          <t>A</t>
        </is>
      </c>
      <c r="D113" s="14" t="n">
        <v>0.3</v>
      </c>
      <c r="E113" s="14" t="n">
        <v>0.3</v>
      </c>
      <c r="F113" s="12" t="inlineStr">
        <is>
          <t>자극을 가라앉히는 진정 성분.</t>
        </is>
      </c>
    </row>
    <row r="114" ht="17" customHeight="1">
      <c r="A114" s="11" t="inlineStr">
        <is>
          <t>베타글루칸</t>
        </is>
      </c>
      <c r="B114" s="12" t="inlineStr">
        <is>
          <t>Beta-Glucan</t>
        </is>
      </c>
      <c r="C114" s="13" t="inlineStr">
        <is>
          <t>A</t>
        </is>
      </c>
      <c r="D114" s="14" t="n">
        <v>1</v>
      </c>
      <c r="E114" s="14" t="n">
        <v>1</v>
      </c>
      <c r="F114" s="12" t="inlineStr">
        <is>
          <t>진정+수분. 예민한 피부를 달랜다.</t>
        </is>
      </c>
    </row>
    <row r="115" ht="32" customHeight="1">
      <c r="A115" s="11" t="inlineStr">
        <is>
          <t>다중 히알루론산</t>
        </is>
      </c>
      <c r="B115" s="12" t="inlineStr">
        <is>
          <t>Hyaluronic Acids</t>
        </is>
      </c>
      <c r="C115" s="13" t="inlineStr">
        <is>
          <t>A</t>
        </is>
      </c>
      <c r="D115" s="14" t="n">
        <v>0.5</v>
      </c>
      <c r="E115" s="14" t="n">
        <v>0.5</v>
      </c>
      <c r="F115" s="12" t="inlineStr">
        <is>
          <t>분자 크기별 히알루론산으로 층층이 수분 충전(유분 없이 보습).</t>
        </is>
      </c>
    </row>
    <row r="116" ht="17" customHeight="1">
      <c r="A116" s="11" t="inlineStr">
        <is>
          <t>마데카소사이드</t>
        </is>
      </c>
      <c r="B116" s="12" t="inlineStr">
        <is>
          <t>Madecassoside</t>
        </is>
      </c>
      <c r="C116" s="15" t="inlineStr">
        <is>
          <t>C</t>
        </is>
      </c>
      <c r="D116" s="14" t="n">
        <v>1</v>
      </c>
      <c r="E116" s="14" t="n">
        <v>1</v>
      </c>
      <c r="F116" s="12" t="inlineStr">
        <is>
          <t>병풀(시카)의 진정 핵심 성분.</t>
        </is>
      </c>
    </row>
    <row r="117" ht="17" customHeight="1">
      <c r="A117" s="11" t="inlineStr">
        <is>
          <t>판테놀(B5)</t>
        </is>
      </c>
      <c r="B117" s="12" t="inlineStr">
        <is>
          <t>Panthenol</t>
        </is>
      </c>
      <c r="C117" s="15" t="inlineStr">
        <is>
          <t>C</t>
        </is>
      </c>
      <c r="D117" s="14" t="n">
        <v>1</v>
      </c>
      <c r="E117" s="14" t="n">
        <v>1</v>
      </c>
      <c r="F117" s="12" t="inlineStr">
        <is>
          <t>프로비타민B5. 보습·진정·장벽 회복.</t>
        </is>
      </c>
    </row>
    <row r="118" ht="17" customHeight="1">
      <c r="A118" s="11" t="inlineStr">
        <is>
          <t>페녹시에탄올</t>
        </is>
      </c>
      <c r="B118" s="12" t="inlineStr">
        <is>
          <t>Phenoxyethanol</t>
        </is>
      </c>
      <c r="C118" s="15" t="inlineStr">
        <is>
          <t>C</t>
        </is>
      </c>
      <c r="D118" s="14" t="n">
        <v>0.5</v>
      </c>
      <c r="E118" s="14" t="n">
        <v>0.5</v>
      </c>
      <c r="F118" s="12" t="inlineStr">
        <is>
          <t>세균·곰팡이를 막는 방부제(물 든 제품엔 필수).</t>
        </is>
      </c>
    </row>
    <row r="119" ht="17" customHeight="1">
      <c r="A119" s="11" t="inlineStr">
        <is>
          <t>1,2-헥산다이올</t>
        </is>
      </c>
      <c r="B119" s="12" t="inlineStr">
        <is>
          <t>1,2-Hexanediol</t>
        </is>
      </c>
      <c r="C119" s="15" t="inlineStr">
        <is>
          <t>C</t>
        </is>
      </c>
      <c r="D119" s="14" t="n">
        <v>1</v>
      </c>
      <c r="E119" s="14" t="n">
        <v>1</v>
      </c>
      <c r="F119" s="12" t="inlineStr">
        <is>
          <t>방부를 돕고 보습도 하는 부스터.</t>
        </is>
      </c>
    </row>
    <row r="120" ht="32" customHeight="1">
      <c r="A120" s="11" t="inlineStr">
        <is>
          <t>구연산</t>
        </is>
      </c>
      <c r="B120" s="12" t="inlineStr">
        <is>
          <t>Citric Acid</t>
        </is>
      </c>
      <c r="C120" s="16" t="inlineStr">
        <is>
          <t>pH</t>
        </is>
      </c>
      <c r="D120" s="14" t="n">
        <v>0.2</v>
      </c>
      <c r="E120" s="14" t="n">
        <v>0.2</v>
      </c>
      <c r="F120" s="12" t="inlineStr">
        <is>
          <t>산도(pH)를 피부에 맞게 낮추는 조절제.  ※pH 5.0~5.5 q.s.</t>
        </is>
      </c>
    </row>
    <row r="121">
      <c r="A121" s="17" t="inlineStr">
        <is>
          <t>합계</t>
        </is>
      </c>
      <c r="B121" s="18" t="n"/>
      <c r="C121" s="18" t="n"/>
      <c r="D121" s="19" t="n">
        <v>100</v>
      </c>
      <c r="E121" s="19" t="n">
        <v>100</v>
      </c>
      <c r="F121" s="18" t="n"/>
    </row>
    <row r="122" ht="17" customHeight="1">
      <c r="A122" s="8" t="inlineStr">
        <is>
          <t>만드는 법</t>
        </is>
      </c>
    </row>
    <row r="123" ht="32" customHeight="1">
      <c r="A123" s="9" t="inlineStr">
        <is>
          <t>① 준비: 도구·용기·손을 70% 알코올로 소독. 100g 배치면 전량이 수상이라 250mL 비커 1개(계량·혼합 겸용) + 소량 계량용 작은 종이컵/유산지. %가 곧 그램(83.5% = 83.5g).</t>
        </is>
      </c>
    </row>
    <row r="124" ht="17" customHeight="1">
      <c r="A124" s="9" t="inlineStr">
        <is>
          <t>★ 계량·비커 (처음이면 꼭 — 100g 배치 기준):</t>
        </is>
      </c>
    </row>
    <row r="125" ht="32" customHeight="1">
      <c r="A125" s="9" t="inlineStr">
        <is>
          <t>– 저울 2개를 나눠 쓴다: 정제수·오일처럼 많은 양은 벤치저울(0.1g 단위), 활성·검·보존제·향처럼 1% 이하 소량은 정밀저울(0.01g 단위). 소량을 큰 저울로 재면 오차가 처방을 망친다.</t>
        </is>
      </c>
    </row>
    <row r="126" ht="32" customHeight="1">
      <c r="A126" s="9" t="inlineStr">
        <is>
          <t>– 분말·점성 원료: 저울에 유산지(칭량지)를 깔고 → 영점(TARE 버튼) → 원료를 담는다. 글리세린·오일 같은 액체는 '받을 비커'를 올리고 TARE 후 바로 부어 넣는다(유산지에 눌어붙음 방지).</t>
        </is>
      </c>
    </row>
    <row r="127" ht="17" customHeight="1">
      <c r="A127" s="9" t="inlineStr">
        <is>
          <t>– 정제수는 '맨 마지막에 100g을 맞추는 잔량'으로 넣는다(다른 걸 다 더하고 남는 양).</t>
        </is>
      </c>
    </row>
    <row r="128" ht="17" customHeight="1">
      <c r="A128" s="9" t="inlineStr">
        <is>
          <t>– 비커 크기 = 내용물의 약 2~2.5배(가열·교반 때 넘침 방지). 200g 배치면 한 단계 큰 비커로.</t>
        </is>
      </c>
    </row>
    <row r="129" ht="17" customHeight="1">
      <c r="A129" s="9" t="inlineStr">
        <is>
          <t>– 흘리면 닦고 다시. 통에 손·젖은 도구 넣지 않기(오염). 소량은 깨끗한 스패출러로.</t>
        </is>
      </c>
    </row>
    <row r="130" ht="32" customHeight="1">
      <c r="A130" s="9" t="inlineStr">
        <is>
          <t>② 히알루론산(분말)은 미리 불린다: 수상용 정제수 일부에 솔솔 뿌려 1~2시간(되도록 전날) 두면 투명 젤처럼 된다. 바로 넣으면 안 녹아 뭉친다.</t>
        </is>
      </c>
    </row>
    <row r="131" ht="32" customHeight="1">
      <c r="A131" s="9" t="inlineStr">
        <is>
          <t>③ (젤·앰플) 잔탄검 선분산: 잔탄검을 글리세린(+프로판디올)에 넣고 막대로 개어 '된죽'을 만든다. 이 상태로 정제수에 부으며 저어야 피시아이(쌀알 덩어리)가 안 생긴다.</t>
        </is>
      </c>
    </row>
    <row r="132" ht="47" customHeight="1">
      <c r="A132" s="9" t="inlineStr">
        <is>
          <t>④ 나머지 정제수에 수용성 활성을 하나씩 녹인다: 나이아신아마이드→알란토인→베타글루칸→아연PCA 순. 알란토인은 잘 안 녹으니 충분히 저어 완전 용해(미세 가루가 안 보일 때까지). HS5Pro 자석교반으로 저으면 편하고, 안 녹으면 40~45℃로 살짝 데워도 된다.</t>
        </is>
      </c>
    </row>
    <row r="133" ht="17" customHeight="1">
      <c r="A133" s="9" t="inlineStr">
        <is>
          <t>⑤ ③과 ④를 합쳐 균일하게 섞는다(맑고 덩어리 없는 상태).</t>
        </is>
      </c>
    </row>
    <row r="134" ht="32" customHeight="1">
      <c r="A134" s="9" t="inlineStr">
        <is>
          <t>⑥ 40℃ 이하로 식었으면 열에 약한 냉각군을 넣는다: 판테놀·마데카소사이드·녹차추출물·방부제(페녹시에탄올+헥산다이올). 녹차는 갈변 전 마지막에.</t>
        </is>
      </c>
    </row>
    <row r="135" ht="32" customHeight="1">
      <c r="A135" s="9" t="inlineStr">
        <is>
          <t>⑦ pH 측정 → 목표 5.0~5.5. 높으면 구연산 희석액(물:구연산≈9:1)을 한 방울씩 떨어뜨리며 다시 측정. 한 번에 많이 넣지 말 것(확 떨어진다).</t>
        </is>
      </c>
    </row>
    <row r="136" ht="32" customHeight="1">
      <c r="A136" s="9" t="inlineStr">
        <is>
          <t>⑧ (젤) 점도 확인: 묽으면 잔탄검을 0.1%씩만 더(③처럼 선분산). 저을 때 생긴 기포는 1~2시간 정치하면 빠진다.</t>
        </is>
      </c>
    </row>
    <row r="137" ht="17" customHeight="1">
      <c r="A137" s="9" t="inlineStr">
        <is>
          <t>⑨ 소독한 용기에 충전. 라벨에 날짜·버전. 1개월 내 사용.</t>
        </is>
      </c>
    </row>
    <row r="138" ht="17" customHeight="1">
      <c r="A138" s="9" t="inlineStr">
        <is>
          <t>★ pH 스트립 읽는 법:</t>
        </is>
      </c>
    </row>
    <row r="139" ht="32" customHeight="1">
      <c r="A139" s="9" t="inlineStr">
        <is>
          <t>– 스트립을 액에 1초 담갔다 빼고, 10~15초 뒤(설명서 시간) 색이 멈췄을 때 '자연광'에서 통에 인쇄된 색표와 맞춘다(형광등 아래는 색이 왜곡된다).</t>
        </is>
      </c>
    </row>
    <row r="140" ht="32" customHeight="1">
      <c r="A140" s="9" t="inlineStr">
        <is>
          <t>– 색표 두 칸 사이로 보이면 중간값으로 읽는다(예: 5와 5.5 사이면 ≈5.2). 0.2~0.5 눈금의 정밀 스트립을 권장.</t>
        </is>
      </c>
    </row>
    <row r="141" ht="17" customHeight="1">
      <c r="A141" s="9" t="inlineStr">
        <is>
          <t>– 크림·젤처럼 되직해 색이 안 보이면 정제수와 1:1로 풀어서 잰다(묽혀도 pH는 거의 그대로).</t>
        </is>
      </c>
    </row>
    <row r="142" ht="17" customHeight="1">
      <c r="A142" s="9" t="inlineStr">
        <is>
          <t>– 색이 금세 바래니 빼서 오래 두지 말고 바로 판독. 젖은 손·금속이 스트립에 닿지 않게.</t>
        </is>
      </c>
    </row>
    <row r="143" ht="17" customHeight="1">
      <c r="A143" s="9" t="inlineStr">
        <is>
          <t>– 목표 5.0~5.5. 더 정확히는 pH 미터(보정액으로 교정 후 사용). 스트립은 ±0.3 오차가 정상이다.</t>
        </is>
      </c>
    </row>
    <row r="144" ht="17" customHeight="1">
      <c r="A144" s="9" t="inlineStr">
        <is>
          <t>★ 흔한 실수: HA 안 불림 / 잔탄 피시아이 / pH 측정 생략 / 방부제 빠뜨림(물 든 제품은 필수).</t>
        </is>
      </c>
    </row>
    <row r="146" ht="26" customHeight="1">
      <c r="A146" s="6" t="inlineStr">
        <is>
          <t>[④ 무수 오일 블렌딩 — 가열·유화·방부 없음]   딥 클렌징 오일 (닦아내기)   ·   클렌징오일(무수)   ·   sebum-calm-cleansing-oil</t>
        </is>
      </c>
    </row>
    <row r="147" ht="17" customHeight="1">
      <c r="A147" s="7" t="inlineStr">
        <is>
          <t>컨셉 │ 말라세지아-세이프 오일만으로 메이크업·피지를 녹이는 닦아내기 오일. 무수라 방부 불필요.</t>
        </is>
      </c>
    </row>
    <row r="148" ht="17" customHeight="1">
      <c r="A148" s="8" t="inlineStr">
        <is>
          <t>설계 이유 (왜 이렇게 만들었나)</t>
        </is>
      </c>
    </row>
    <row r="149" ht="17" customHeight="1">
      <c r="A149" s="9" t="inlineStr">
        <is>
          <t>· 물 없이 오일만 → 세균이 못 자라 방부제가 필요 없는 가장 단순한 제형.</t>
        </is>
      </c>
    </row>
    <row r="150" ht="17" customHeight="1">
      <c r="A150" s="9" t="inlineStr">
        <is>
          <t>· 말라세지아가 못 먹는 C8/C10 오일(MCT·스쿠알란)만 써 트러블 피부에도 안전.</t>
        </is>
      </c>
    </row>
    <row r="151" ht="17" customHeight="1">
      <c r="A151" s="9" t="inlineStr">
        <is>
          <t>· 가용화제가 없어 물에 안 풀린다 → 티슈로 닦아내는 용도(클렌징 1단계).</t>
        </is>
      </c>
    </row>
    <row r="152" ht="17" customHeight="1">
      <c r="A152" s="9" t="inlineStr">
        <is>
          <t>· 디메치콘으로 발림과 잔여감을 다듬는다.</t>
        </is>
      </c>
    </row>
    <row r="153" ht="17" customHeight="1">
      <c r="A153" s="7" t="inlineStr">
        <is>
          <t>특징 │ 무수(물 0)·방부 불필요  ·  말라세지아-세이프 오일만  ·  ★닦아내기(wipe-off)</t>
        </is>
      </c>
    </row>
    <row r="154">
      <c r="A154" s="10" t="inlineStr">
        <is>
          <t>원료</t>
        </is>
      </c>
      <c r="B154" s="10" t="inlineStr">
        <is>
          <t>INCI</t>
        </is>
      </c>
      <c r="C154" s="10" t="inlineStr">
        <is>
          <t>상</t>
        </is>
      </c>
      <c r="D154" s="10" t="inlineStr">
        <is>
          <t>%</t>
        </is>
      </c>
      <c r="E154" s="10" t="inlineStr">
        <is>
          <t>g(100g)</t>
        </is>
      </c>
      <c r="F154" s="10" t="inlineStr">
        <is>
          <t>이 원료가 하는 일</t>
        </is>
      </c>
    </row>
    <row r="155" ht="32" customHeight="1">
      <c r="A155" s="11" t="inlineStr">
        <is>
          <t>MCT오일</t>
        </is>
      </c>
      <c r="B155" s="12" t="inlineStr">
        <is>
          <t>Caprylic/Capric Triglyceride</t>
        </is>
      </c>
      <c r="C155" s="20" t="inlineStr">
        <is>
          <t>B</t>
        </is>
      </c>
      <c r="D155" s="14" t="n">
        <v>60</v>
      </c>
      <c r="E155" s="14" t="n">
        <v>60</v>
      </c>
      <c r="F155" s="12" t="inlineStr">
        <is>
          <t>아주 가벼운 오일. 세정·발림 베이스(C8/C10·세이프).  ※경량 세정 베이스(C8/C10, 세이프)</t>
        </is>
      </c>
    </row>
    <row r="156" ht="32" customHeight="1">
      <c r="A156" s="11" t="inlineStr">
        <is>
          <t>스쿠알란</t>
        </is>
      </c>
      <c r="B156" s="12" t="inlineStr">
        <is>
          <t>Squalane</t>
        </is>
      </c>
      <c r="C156" s="20" t="inlineStr">
        <is>
          <t>B</t>
        </is>
      </c>
      <c r="D156" s="14" t="n">
        <v>25</v>
      </c>
      <c r="E156" s="14" t="n">
        <v>25</v>
      </c>
      <c r="F156" s="12" t="inlineStr">
        <is>
          <t>가볍고 안정적인 보습 오일. 피부 유래라 순함(세이프).  ※컨디셔닝·경량</t>
        </is>
      </c>
    </row>
    <row r="157" ht="32" customHeight="1">
      <c r="A157" s="11" t="inlineStr">
        <is>
          <t>디메치콘</t>
        </is>
      </c>
      <c r="B157" s="12" t="inlineStr">
        <is>
          <t>Dimethicone</t>
        </is>
      </c>
      <c r="C157" s="20" t="inlineStr">
        <is>
          <t>B</t>
        </is>
      </c>
      <c r="D157" s="14" t="n">
        <v>14</v>
      </c>
      <c r="E157" s="14" t="n">
        <v>14</v>
      </c>
      <c r="F157" s="12" t="inlineStr">
        <is>
          <t>실키한 발림과 얇은 보호막을 주는 실리콘.  ※슬립·잔여감 저감</t>
        </is>
      </c>
    </row>
    <row r="158" ht="17" customHeight="1">
      <c r="A158" s="11" t="inlineStr">
        <is>
          <t>토코페롤(비타민E)</t>
        </is>
      </c>
      <c r="B158" s="12" t="inlineStr">
        <is>
          <t>Tocopherol</t>
        </is>
      </c>
      <c r="C158" s="20" t="inlineStr">
        <is>
          <t>B</t>
        </is>
      </c>
      <c r="D158" s="14" t="n">
        <v>1</v>
      </c>
      <c r="E158" s="14" t="n">
        <v>1</v>
      </c>
      <c r="F158" s="12" t="inlineStr">
        <is>
          <t>비타민E. 오일 산패(산화)를 막는 항산화제.  ※산화 방지</t>
        </is>
      </c>
    </row>
    <row r="159">
      <c r="A159" s="17" t="inlineStr">
        <is>
          <t>합계</t>
        </is>
      </c>
      <c r="B159" s="18" t="n"/>
      <c r="C159" s="18" t="n"/>
      <c r="D159" s="19" t="n">
        <v>100</v>
      </c>
      <c r="E159" s="19" t="n">
        <v>100</v>
      </c>
      <c r="F159" s="18" t="n"/>
    </row>
    <row r="160" ht="17" customHeight="1">
      <c r="A160" s="8" t="inlineStr">
        <is>
          <t>만드는 법</t>
        </is>
      </c>
    </row>
    <row r="161" ht="32" customHeight="1">
      <c r="A161" s="9" t="inlineStr">
        <is>
          <t>① 준비: 용기·도구를 '완전히 말린다'(물 한 방울만 섞여도 무수 제형이 상한다). 오일 전량 담을 250mL 비커 1개.</t>
        </is>
      </c>
    </row>
    <row r="162" ht="17" customHeight="1">
      <c r="A162" s="9" t="inlineStr">
        <is>
          <t>★ 계량·비커 (처음이면 꼭 — 100g 배치 기준):</t>
        </is>
      </c>
    </row>
    <row r="163" ht="32" customHeight="1">
      <c r="A163" s="9" t="inlineStr">
        <is>
          <t>– 저울 2개를 나눠 쓴다: 정제수·오일처럼 많은 양은 벤치저울(0.1g 단위), 활성·검·보존제·향처럼 1% 이하 소량은 정밀저울(0.01g 단위). 소량을 큰 저울로 재면 오차가 처방을 망친다.</t>
        </is>
      </c>
    </row>
    <row r="164" ht="32" customHeight="1">
      <c r="A164" s="9" t="inlineStr">
        <is>
          <t>– 분말·점성 원료: 저울에 유산지(칭량지)를 깔고 → 영점(TARE 버튼) → 원료를 담는다. 글리세린·오일 같은 액체는 '받을 비커'를 올리고 TARE 후 바로 부어 넣는다(유산지에 눌어붙음 방지).</t>
        </is>
      </c>
    </row>
    <row r="165" ht="17" customHeight="1">
      <c r="A165" s="9" t="inlineStr">
        <is>
          <t>– 정제수는 '맨 마지막에 100g을 맞추는 잔량'으로 넣는다(다른 걸 다 더하고 남는 양).</t>
        </is>
      </c>
    </row>
    <row r="166" ht="17" customHeight="1">
      <c r="A166" s="9" t="inlineStr">
        <is>
          <t>– 비커 크기 = 내용물의 약 2~2.5배(가열·교반 때 넘침 방지). 200g 배치면 한 단계 큰 비커로.</t>
        </is>
      </c>
    </row>
    <row r="167" ht="17" customHeight="1">
      <c r="A167" s="9" t="inlineStr">
        <is>
          <t>– 흘리면 닦고 다시. 통에 손·젖은 도구 넣지 않기(오염). 소량은 깨끗한 스패출러로.</t>
        </is>
      </c>
    </row>
    <row r="168" ht="17" customHeight="1">
      <c r="A168" s="9" t="inlineStr">
        <is>
          <t>② 오일을 계량해 비커에 넣는다: MCT·스쿠알란·디메치콘. 가열 불필요(상온에서 다 섞인다).</t>
        </is>
      </c>
    </row>
    <row r="169" ht="17" customHeight="1">
      <c r="A169" s="9" t="inlineStr">
        <is>
          <t>③ 유리막대로 30초~1분 고루 섞는다. 디메치콘이 바닥에 깔리기 쉬우니 충분히.</t>
        </is>
      </c>
    </row>
    <row r="170" ht="17" customHeight="1">
      <c r="A170" s="9" t="inlineStr">
        <is>
          <t>④ 토코페롤(비타민E)을 넣어 산패를 늦춘다. 마지막에 가볍게 섞는다.</t>
        </is>
      </c>
    </row>
    <row r="171" ht="17" customHeight="1">
      <c r="A171" s="9" t="inlineStr">
        <is>
          <t>⑤ 무수라 방부제는 필요 없다. 펌프/드롭퍼 용기에 담고 차광·서늘 보관.</t>
        </is>
      </c>
    </row>
    <row r="172" ht="32" customHeight="1">
      <c r="A172" s="9" t="inlineStr">
        <is>
          <t>⑥ 사용법: 마른 얼굴에 적당량 올려 1분 마사지(메이크업·피지가 녹는다) → 화장솜·티슈로 닦아낸다. 물로 헹궈지지 않는 타입이다.</t>
        </is>
      </c>
    </row>
    <row r="173" ht="17" customHeight="1">
      <c r="A173" s="9" t="inlineStr">
        <is>
          <t>★ 주의: 개봉·사용 중 물 유입 금지(펌프 권장). 오일 냄새가 변하면(쩐내) 산패 신호 → 폐기.</t>
        </is>
      </c>
    </row>
    <row r="175" ht="26" customHeight="1">
      <c r="A175" s="6" t="inlineStr">
        <is>
          <t>[⑤ 무수+가용화제 — 물 만나면 유백색 유화·헹굼]   워시오프 클렌징 오일   ·   클렌징오일(무수·가용화)   ·   sebum-calm-wash-cleansing-oil</t>
        </is>
      </c>
    </row>
    <row r="176" ht="17" customHeight="1">
      <c r="A176" s="7" t="inlineStr">
        <is>
          <t>컨셉 │ 오일에 가용화제를 넣어, 물 접촉 시 유백색으로 유화돼 헹궈지는 워시오프 클렌징 오일.</t>
        </is>
      </c>
    </row>
    <row r="177" ht="17" customHeight="1">
      <c r="A177" s="8" t="inlineStr">
        <is>
          <t>설계 이유 (왜 이렇게 만들었나)</t>
        </is>
      </c>
    </row>
    <row r="178" ht="17" customHeight="1">
      <c r="A178" s="9" t="inlineStr">
        <is>
          <t>· 닦아내기 오일에 '가용화제'를 더해, 물을 만나면 유백색으로 풀려 헹궈지게 만든 버전.</t>
        </is>
      </c>
    </row>
    <row r="179" ht="32" customHeight="1">
      <c r="A179" s="9" t="inlineStr">
        <is>
          <t>· 가용화제도 C8/C10(세이프)로 골라 브랜드 원칙 유지 — 지방산 유래(폴리소르베이트80·PEG-7글리세릴코코에이트)는 세이프 회색지대라 제외.</t>
        </is>
      </c>
    </row>
    <row r="180" ht="17" customHeight="1">
      <c r="A180" s="9" t="inlineStr">
        <is>
          <t>· 가용화제 양이 '헹굼성'의 핵심 변수 → 16~20%에서 실험으로 튜닝.</t>
        </is>
      </c>
    </row>
    <row r="181" ht="17" customHeight="1">
      <c r="A181" s="9" t="inlineStr">
        <is>
          <t>· 무수라 방부 불필요하나 물 유입은 막는다(펌프·드롭퍼 용기).</t>
        </is>
      </c>
    </row>
    <row r="182" ht="32" customHeight="1">
      <c r="A182" s="7" t="inlineStr">
        <is>
          <t>특징 │ 물로 헹굼(워시오프)  ·  말라세지아-세이프(C8/C10 가용화제)  ·  무향  ·  ★가용화제 1종 신규 구매 필요</t>
        </is>
      </c>
    </row>
    <row r="183">
      <c r="A183" s="10" t="inlineStr">
        <is>
          <t>원료</t>
        </is>
      </c>
      <c r="B183" s="10" t="inlineStr">
        <is>
          <t>INCI</t>
        </is>
      </c>
      <c r="C183" s="10" t="inlineStr">
        <is>
          <t>상</t>
        </is>
      </c>
      <c r="D183" s="10" t="inlineStr">
        <is>
          <t>%</t>
        </is>
      </c>
      <c r="E183" s="10" t="inlineStr">
        <is>
          <t>g(100g)</t>
        </is>
      </c>
      <c r="F183" s="10" t="inlineStr">
        <is>
          <t>이 원료가 하는 일</t>
        </is>
      </c>
    </row>
    <row r="184" ht="32" customHeight="1">
      <c r="A184" s="11" t="inlineStr">
        <is>
          <t>MCT오일</t>
        </is>
      </c>
      <c r="B184" s="12" t="inlineStr">
        <is>
          <t>Caprylic/Capric Triglyceride</t>
        </is>
      </c>
      <c r="C184" s="20" t="inlineStr">
        <is>
          <t>B</t>
        </is>
      </c>
      <c r="D184" s="14" t="n">
        <v>54</v>
      </c>
      <c r="E184" s="14" t="n">
        <v>54</v>
      </c>
      <c r="F184" s="12" t="inlineStr">
        <is>
          <t>아주 가벼운 오일. 세정·발림 베이스(C8/C10·세이프).  ※세정 베이스(C8/C10, 세이프)</t>
        </is>
      </c>
    </row>
    <row r="185" ht="32" customHeight="1">
      <c r="A185" s="11" t="inlineStr">
        <is>
          <t>스쿠알란</t>
        </is>
      </c>
      <c r="B185" s="12" t="inlineStr">
        <is>
          <t>Squalane</t>
        </is>
      </c>
      <c r="C185" s="20" t="inlineStr">
        <is>
          <t>B</t>
        </is>
      </c>
      <c r="D185" s="14" t="n">
        <v>24</v>
      </c>
      <c r="E185" s="14" t="n">
        <v>24</v>
      </c>
      <c r="F185" s="12" t="inlineStr">
        <is>
          <t>가볍고 안정적인 보습 오일. 피부 유래라 순함(세이프).  ※컨디셔닝·경량</t>
        </is>
      </c>
    </row>
    <row r="186" ht="32" customHeight="1">
      <c r="A186" s="11" t="inlineStr">
        <is>
          <t>폴리글리세릴-4 카프레이트</t>
        </is>
      </c>
      <c r="B186" s="12" t="inlineStr">
        <is>
          <t>Polyglyceryl-4 Caprate</t>
        </is>
      </c>
      <c r="C186" s="20" t="inlineStr">
        <is>
          <t>B</t>
        </is>
      </c>
      <c r="D186" s="14" t="n">
        <v>18</v>
      </c>
      <c r="E186" s="14" t="n">
        <v>18</v>
      </c>
      <c r="F186" s="12" t="inlineStr">
        <is>
          <t>오일이 물을 만나면 유백색으로 풀려 헹궈지게 하는 가용화제(C10·세이프).  ※★가용화제(신규구매) 16~20% 튜닝</t>
        </is>
      </c>
    </row>
    <row r="187" ht="32" customHeight="1">
      <c r="A187" s="11" t="inlineStr">
        <is>
          <t>디메치콘</t>
        </is>
      </c>
      <c r="B187" s="12" t="inlineStr">
        <is>
          <t>Dimethicone</t>
        </is>
      </c>
      <c r="C187" s="20" t="inlineStr">
        <is>
          <t>B</t>
        </is>
      </c>
      <c r="D187" s="14" t="n">
        <v>3</v>
      </c>
      <c r="E187" s="14" t="n">
        <v>3</v>
      </c>
      <c r="F187" s="12" t="inlineStr">
        <is>
          <t>실키한 발림과 얇은 보호막을 주는 실리콘.  ※슬립(많으면 헹굼 저하)</t>
        </is>
      </c>
    </row>
    <row r="188" ht="17" customHeight="1">
      <c r="A188" s="11" t="inlineStr">
        <is>
          <t>토코페롤(비타민E)</t>
        </is>
      </c>
      <c r="B188" s="12" t="inlineStr">
        <is>
          <t>Tocopherol</t>
        </is>
      </c>
      <c r="C188" s="20" t="inlineStr">
        <is>
          <t>B</t>
        </is>
      </c>
      <c r="D188" s="14" t="n">
        <v>1</v>
      </c>
      <c r="E188" s="14" t="n">
        <v>1</v>
      </c>
      <c r="F188" s="12" t="inlineStr">
        <is>
          <t>비타민E. 오일 산패(산화)를 막는 항산화제.  ※산화 방지</t>
        </is>
      </c>
    </row>
    <row r="189">
      <c r="A189" s="17" t="inlineStr">
        <is>
          <t>합계</t>
        </is>
      </c>
      <c r="B189" s="18" t="n"/>
      <c r="C189" s="18" t="n"/>
      <c r="D189" s="19" t="n">
        <v>100</v>
      </c>
      <c r="E189" s="19" t="n">
        <v>100</v>
      </c>
      <c r="F189" s="18" t="n"/>
    </row>
    <row r="190" ht="17" customHeight="1">
      <c r="A190" s="8" t="inlineStr">
        <is>
          <t>만드는 법</t>
        </is>
      </c>
    </row>
    <row r="191" ht="17" customHeight="1">
      <c r="A191" s="9" t="inlineStr">
        <is>
          <t>① 준비: 용기·도구를 완전히 말린다(무수). 오일+가용화제 전량 담을 250mL 비커 1개.</t>
        </is>
      </c>
    </row>
    <row r="192" ht="17" customHeight="1">
      <c r="A192" s="9" t="inlineStr">
        <is>
          <t>★ 계량·비커 (처음이면 꼭 — 100g 배치 기준):</t>
        </is>
      </c>
    </row>
    <row r="193" ht="32" customHeight="1">
      <c r="A193" s="9" t="inlineStr">
        <is>
          <t>– 저울 2개를 나눠 쓴다: 정제수·오일처럼 많은 양은 벤치저울(0.1g 단위), 활성·검·보존제·향처럼 1% 이하 소량은 정밀저울(0.01g 단위). 소량을 큰 저울로 재면 오차가 처방을 망친다.</t>
        </is>
      </c>
    </row>
    <row r="194" ht="32" customHeight="1">
      <c r="A194" s="9" t="inlineStr">
        <is>
          <t>– 분말·점성 원료: 저울에 유산지(칭량지)를 깔고 → 영점(TARE 버튼) → 원료를 담는다. 글리세린·오일 같은 액체는 '받을 비커'를 올리고 TARE 후 바로 부어 넣는다(유산지에 눌어붙음 방지).</t>
        </is>
      </c>
    </row>
    <row r="195" ht="17" customHeight="1">
      <c r="A195" s="9" t="inlineStr">
        <is>
          <t>– 정제수는 '맨 마지막에 100g을 맞추는 잔량'으로 넣는다(다른 걸 다 더하고 남는 양).</t>
        </is>
      </c>
    </row>
    <row r="196" ht="17" customHeight="1">
      <c r="A196" s="9" t="inlineStr">
        <is>
          <t>– 비커 크기 = 내용물의 약 2~2.5배(가열·교반 때 넘침 방지). 200g 배치면 한 단계 큰 비커로.</t>
        </is>
      </c>
    </row>
    <row r="197" ht="17" customHeight="1">
      <c r="A197" s="9" t="inlineStr">
        <is>
          <t>– 흘리면 닦고 다시. 통에 손·젖은 도구 넣지 않기(오염). 소량은 깨끗한 스패출러로.</t>
        </is>
      </c>
    </row>
    <row r="198" ht="17" customHeight="1">
      <c r="A198" s="9" t="inlineStr">
        <is>
          <t>② 오일 계량: MCT·스쿠알란·디메치콘.</t>
        </is>
      </c>
    </row>
    <row r="199" ht="32" customHeight="1">
      <c r="A199" s="9" t="inlineStr">
        <is>
          <t>③ 가용화제(폴리글리세릴-4 카프레이트)를 16~20% 넣고 상온에서 고루 섞는다 — 이게 물을 만나면 유백색으로 풀리게 하는 핵심.</t>
        </is>
      </c>
    </row>
    <row r="200" ht="17" customHeight="1">
      <c r="A200" s="9" t="inlineStr">
        <is>
          <t>④ 토코페롤을 넣어 마무리.</t>
        </is>
      </c>
    </row>
    <row r="201" ht="32" customHeight="1">
      <c r="A201" s="9" t="inlineStr">
        <is>
          <t>⑤ ★유화 테스트(중요): 손바닥에 소량 덜고 물 몇 방울을 떨어뜨려 비벼본다. 뽀얗게 유백색으로 변하면 성공. 그대로 기름막이면 가용화제를 1%씩 올린다.</t>
        </is>
      </c>
    </row>
    <row r="202" ht="17" customHeight="1">
      <c r="A202" s="9" t="inlineStr">
        <is>
          <t>⑥ 사용법: 마른 얼굴에 마사지 → 손에 물을 묻혀 한 번 더 비비면 유백색 유화 → 미온수로 헹군다.</t>
        </is>
      </c>
    </row>
    <row r="203" ht="32" customHeight="1">
      <c r="A203" s="9" t="inlineStr">
        <is>
          <t>⑦ 튜닝: 가용화제가 적으면 안 헹궈지고 미끈, 많으면 당기고 눈시림. 디메치콘이 많으면 헹굼이 떨어진다 — 한 축씩 조정하며 ⑤ 테스트 반복.</t>
        </is>
      </c>
    </row>
    <row r="204" ht="17" customHeight="1">
      <c r="A204" s="9" t="inlineStr">
        <is>
          <t>★ 주의: 가용화제는 아직 미보유(★구매 필요). 무수라 방부 불필요하나 물 유입은 막는다.</t>
        </is>
      </c>
    </row>
    <row r="206" ht="26" customHeight="1">
      <c r="A206" s="6" t="inlineStr">
        <is>
          <t>[⑥ 유화 입문 — 오일 ~8%, 가벼운 에멀전]   밸런스 진정 로션   ·   로션(유화·경량)   ·   sebum-calm-lotion</t>
        </is>
      </c>
    </row>
    <row r="207" ht="17" customHeight="1">
      <c r="A207" s="7" t="inlineStr">
        <is>
          <t>컨셉 │ 크림보다 가벼운 유화 입문. 유상 비율 낮춰 분리 위험 줄인 연습용.</t>
        </is>
      </c>
    </row>
    <row r="208" ht="17" customHeight="1">
      <c r="A208" s="8" t="inlineStr">
        <is>
          <t>설계 이유 (왜 이렇게 만들었나)</t>
        </is>
      </c>
    </row>
    <row r="209" ht="17" customHeight="1">
      <c r="A209" s="9" t="inlineStr">
        <is>
          <t>· 물과 기름을 '유화제로 섞는' 첫 에멀전 — 기름을 ~8%로 낮춰 분리 위험을 줄였다.</t>
        </is>
      </c>
    </row>
    <row r="210" ht="17" customHeight="1">
      <c r="A210" s="9" t="inlineStr">
        <is>
          <t>· 수상(A)·유상(B)을 같은 온도(70~75℃)로 데워 섞고, 식히며 안정화한다.</t>
        </is>
      </c>
    </row>
    <row r="211" ht="17" customHeight="1">
      <c r="A211" s="9" t="inlineStr">
        <is>
          <t>· 오일은 전부 세이프(스쿠알란·MCT·디메치콘). 활성·진정 철학은 크림과 같다.</t>
        </is>
      </c>
    </row>
    <row r="212" ht="17" customHeight="1">
      <c r="A212" s="9" t="inlineStr">
        <is>
          <t>· 잔탄검 소량으로 에멀전을 더 안정화한다.</t>
        </is>
      </c>
    </row>
    <row r="213" ht="17" customHeight="1">
      <c r="A213" s="7" t="inlineStr">
        <is>
          <t>특징 │ 가벼운 로션  ·  말라세지아-세이프 오일만  ·  무향</t>
        </is>
      </c>
    </row>
    <row r="214">
      <c r="A214" s="10" t="inlineStr">
        <is>
          <t>원료</t>
        </is>
      </c>
      <c r="B214" s="10" t="inlineStr">
        <is>
          <t>INCI</t>
        </is>
      </c>
      <c r="C214" s="10" t="inlineStr">
        <is>
          <t>상</t>
        </is>
      </c>
      <c r="D214" s="10" t="inlineStr">
        <is>
          <t>%</t>
        </is>
      </c>
      <c r="E214" s="10" t="inlineStr">
        <is>
          <t>g(100g)</t>
        </is>
      </c>
      <c r="F214" s="10" t="inlineStr">
        <is>
          <t>이 원료가 하는 일</t>
        </is>
      </c>
    </row>
    <row r="215" ht="17" customHeight="1">
      <c r="A215" s="11" t="inlineStr">
        <is>
          <t>정제수</t>
        </is>
      </c>
      <c r="B215" s="12" t="inlineStr">
        <is>
          <t>Water</t>
        </is>
      </c>
      <c r="C215" s="13" t="inlineStr">
        <is>
          <t>A</t>
        </is>
      </c>
      <c r="D215" s="14" t="n">
        <v>71.8</v>
      </c>
      <c r="E215" s="14" t="n">
        <v>71.8</v>
      </c>
      <c r="F215" s="12" t="inlineStr">
        <is>
          <t>모든 성분을 녹이는 바탕(제품의 대부분을 차지).  ※베이스</t>
        </is>
      </c>
    </row>
    <row r="216" ht="32" customHeight="1">
      <c r="A216" s="11" t="inlineStr">
        <is>
          <t>글리세린</t>
        </is>
      </c>
      <c r="B216" s="12" t="inlineStr">
        <is>
          <t>Glycerin</t>
        </is>
      </c>
      <c r="C216" s="13" t="inlineStr">
        <is>
          <t>A</t>
        </is>
      </c>
      <c r="D216" s="14" t="n">
        <v>4</v>
      </c>
      <c r="E216" s="14" t="n">
        <v>4</v>
      </c>
      <c r="F216" s="12" t="inlineStr">
        <is>
          <t>수분을 끌어당기는 대표 보습제. 잔탄검을 미리 개는 매개로도 쓴다.</t>
        </is>
      </c>
    </row>
    <row r="217" ht="17" customHeight="1">
      <c r="A217" s="11" t="inlineStr">
        <is>
          <t>프로판디올</t>
        </is>
      </c>
      <c r="B217" s="12" t="inlineStr">
        <is>
          <t>Propanediol</t>
        </is>
      </c>
      <c r="C217" s="13" t="inlineStr">
        <is>
          <t>A</t>
        </is>
      </c>
      <c r="D217" s="14" t="n">
        <v>3</v>
      </c>
      <c r="E217" s="14" t="n">
        <v>3</v>
      </c>
      <c r="F217" s="12" t="inlineStr">
        <is>
          <t>보습하면서 방부를 거드는 보조 폴리올.</t>
        </is>
      </c>
    </row>
    <row r="218" ht="17" customHeight="1">
      <c r="A218" s="11" t="inlineStr">
        <is>
          <t>나이아신아마이드</t>
        </is>
      </c>
      <c r="B218" s="12" t="inlineStr">
        <is>
          <t>Niacinamide</t>
        </is>
      </c>
      <c r="C218" s="13" t="inlineStr">
        <is>
          <t>A</t>
        </is>
      </c>
      <c r="D218" s="14" t="n">
        <v>2</v>
      </c>
      <c r="E218" s="14" t="n">
        <v>2</v>
      </c>
      <c r="F218" s="12" t="inlineStr">
        <is>
          <t>비타민B3. 피지·모공·피부톤·장벽을 두루 돕는 대표 활성.</t>
        </is>
      </c>
    </row>
    <row r="219" ht="17" customHeight="1">
      <c r="A219" s="11" t="inlineStr">
        <is>
          <t>알란토인</t>
        </is>
      </c>
      <c r="B219" s="12" t="inlineStr">
        <is>
          <t>Allantoin</t>
        </is>
      </c>
      <c r="C219" s="13" t="inlineStr">
        <is>
          <t>A</t>
        </is>
      </c>
      <c r="D219" s="14" t="n">
        <v>0.3</v>
      </c>
      <c r="E219" s="14" t="n">
        <v>0.3</v>
      </c>
      <c r="F219" s="12" t="inlineStr">
        <is>
          <t>자극을 가라앉히는 진정 성분.</t>
        </is>
      </c>
    </row>
    <row r="220" ht="17" customHeight="1">
      <c r="A220" s="11" t="inlineStr">
        <is>
          <t>베타글루칸</t>
        </is>
      </c>
      <c r="B220" s="12" t="inlineStr">
        <is>
          <t>Beta-Glucan</t>
        </is>
      </c>
      <c r="C220" s="13" t="inlineStr">
        <is>
          <t>A</t>
        </is>
      </c>
      <c r="D220" s="14" t="n">
        <v>1</v>
      </c>
      <c r="E220" s="14" t="n">
        <v>1</v>
      </c>
      <c r="F220" s="12" t="inlineStr">
        <is>
          <t>진정+수분. 예민한 피부를 달랜다.</t>
        </is>
      </c>
    </row>
    <row r="221" ht="17" customHeight="1">
      <c r="A221" s="11" t="inlineStr">
        <is>
          <t>아연피카</t>
        </is>
      </c>
      <c r="B221" s="12" t="inlineStr">
        <is>
          <t>Zinc PCA</t>
        </is>
      </c>
      <c r="C221" s="13" t="inlineStr">
        <is>
          <t>A</t>
        </is>
      </c>
      <c r="D221" s="14" t="n">
        <v>0.5</v>
      </c>
      <c r="E221" s="14" t="n">
        <v>0.5</v>
      </c>
      <c r="F221" s="12" t="inlineStr">
        <is>
          <t>피지(기름기)를 조절해 번들거림을 줄인다.</t>
        </is>
      </c>
    </row>
    <row r="222" ht="32" customHeight="1">
      <c r="A222" s="11" t="inlineStr">
        <is>
          <t>다중 히알루론산</t>
        </is>
      </c>
      <c r="B222" s="12" t="inlineStr">
        <is>
          <t>Hyaluronic Acids</t>
        </is>
      </c>
      <c r="C222" s="13" t="inlineStr">
        <is>
          <t>A</t>
        </is>
      </c>
      <c r="D222" s="14" t="n">
        <v>0.5</v>
      </c>
      <c r="E222" s="14" t="n">
        <v>0.5</v>
      </c>
      <c r="F222" s="12" t="inlineStr">
        <is>
          <t>분자 크기별 히알루론산으로 층층이 수분 충전(유분 없이 보습).</t>
        </is>
      </c>
    </row>
    <row r="223" ht="32" customHeight="1">
      <c r="A223" s="11" t="inlineStr">
        <is>
          <t>잔탄검</t>
        </is>
      </c>
      <c r="B223" s="12" t="inlineStr">
        <is>
          <t>Xanthan Gum</t>
        </is>
      </c>
      <c r="C223" s="13" t="inlineStr">
        <is>
          <t>A</t>
        </is>
      </c>
      <c r="D223" s="14" t="n">
        <v>0.2</v>
      </c>
      <c r="E223" s="14" t="n">
        <v>0.2</v>
      </c>
      <c r="F223" s="12" t="inlineStr">
        <is>
          <t>천연 점증제. 젤·에멀전에 점도와 안정성을 준다(글리세린에 선분산).  ※안정화(글리세린 선분산)</t>
        </is>
      </c>
    </row>
    <row r="224" ht="32" customHeight="1">
      <c r="A224" s="11" t="inlineStr">
        <is>
          <t>몬타노브68</t>
        </is>
      </c>
      <c r="B224" s="12" t="inlineStr">
        <is>
          <t>Cetearyl Alcohol &amp; Cetearyl Glucoside</t>
        </is>
      </c>
      <c r="C224" s="20" t="inlineStr">
        <is>
          <t>B</t>
        </is>
      </c>
      <c r="D224" s="14" t="n">
        <v>3</v>
      </c>
      <c r="E224" s="14" t="n">
        <v>3</v>
      </c>
      <c r="F224" s="12" t="inlineStr">
        <is>
          <t>물과 기름을 섞어주는 유화제(글루코사이드계·세이프).  ※유화제</t>
        </is>
      </c>
    </row>
    <row r="225" ht="17" customHeight="1">
      <c r="A225" s="11" t="inlineStr">
        <is>
          <t>세틸알코올</t>
        </is>
      </c>
      <c r="B225" s="12" t="inlineStr">
        <is>
          <t>Cetyl Alcohol</t>
        </is>
      </c>
      <c r="C225" s="20" t="inlineStr">
        <is>
          <t>B</t>
        </is>
      </c>
      <c r="D225" s="14" t="n">
        <v>1</v>
      </c>
      <c r="E225" s="14" t="n">
        <v>1</v>
      </c>
      <c r="F225" s="12" t="inlineStr">
        <is>
          <t>유화를 안정화하고 바디·발림감을 주는 지방알코올.</t>
        </is>
      </c>
    </row>
    <row r="226" ht="17" customHeight="1">
      <c r="A226" s="11" t="inlineStr">
        <is>
          <t>스쿠알란</t>
        </is>
      </c>
      <c r="B226" s="12" t="inlineStr">
        <is>
          <t>Squalane</t>
        </is>
      </c>
      <c r="C226" s="20" t="inlineStr">
        <is>
          <t>B</t>
        </is>
      </c>
      <c r="D226" s="14" t="n">
        <v>3</v>
      </c>
      <c r="E226" s="14" t="n">
        <v>3</v>
      </c>
      <c r="F226" s="12" t="inlineStr">
        <is>
          <t>가볍고 안정적인 보습 오일. 피부 유래라 순함(세이프).</t>
        </is>
      </c>
    </row>
    <row r="227" ht="17" customHeight="1">
      <c r="A227" s="11" t="inlineStr">
        <is>
          <t>MCT오일</t>
        </is>
      </c>
      <c r="B227" s="12" t="inlineStr">
        <is>
          <t>Caprylic/Capric Triglyceride</t>
        </is>
      </c>
      <c r="C227" s="20" t="inlineStr">
        <is>
          <t>B</t>
        </is>
      </c>
      <c r="D227" s="14" t="n">
        <v>2</v>
      </c>
      <c r="E227" s="14" t="n">
        <v>2</v>
      </c>
      <c r="F227" s="12" t="inlineStr">
        <is>
          <t>아주 가벼운 오일. 세정·발림 베이스(C8/C10·세이프).</t>
        </is>
      </c>
    </row>
    <row r="228" ht="17" customHeight="1">
      <c r="A228" s="11" t="inlineStr">
        <is>
          <t>디메치콘</t>
        </is>
      </c>
      <c r="B228" s="12" t="inlineStr">
        <is>
          <t>Dimethicone</t>
        </is>
      </c>
      <c r="C228" s="20" t="inlineStr">
        <is>
          <t>B</t>
        </is>
      </c>
      <c r="D228" s="14" t="n">
        <v>2</v>
      </c>
      <c r="E228" s="14" t="n">
        <v>2</v>
      </c>
      <c r="F228" s="12" t="inlineStr">
        <is>
          <t>실키한 발림과 얇은 보호막을 주는 실리콘.</t>
        </is>
      </c>
    </row>
    <row r="229" ht="17" customHeight="1">
      <c r="A229" s="11" t="inlineStr">
        <is>
          <t>마데카소사이드</t>
        </is>
      </c>
      <c r="B229" s="12" t="inlineStr">
        <is>
          <t>Madecassoside</t>
        </is>
      </c>
      <c r="C229" s="15" t="inlineStr">
        <is>
          <t>C</t>
        </is>
      </c>
      <c r="D229" s="14" t="n">
        <v>1</v>
      </c>
      <c r="E229" s="14" t="n">
        <v>1</v>
      </c>
      <c r="F229" s="12" t="inlineStr">
        <is>
          <t>병풀(시카)의 진정 핵심 성분.</t>
        </is>
      </c>
    </row>
    <row r="230" ht="17" customHeight="1">
      <c r="A230" s="11" t="inlineStr">
        <is>
          <t>판테놀(B5)</t>
        </is>
      </c>
      <c r="B230" s="12" t="inlineStr">
        <is>
          <t>Panthenol</t>
        </is>
      </c>
      <c r="C230" s="15" t="inlineStr">
        <is>
          <t>C</t>
        </is>
      </c>
      <c r="D230" s="14" t="n">
        <v>1</v>
      </c>
      <c r="E230" s="14" t="n">
        <v>1</v>
      </c>
      <c r="F230" s="12" t="inlineStr">
        <is>
          <t>프로비타민B5. 보습·진정·장벽 회복.</t>
        </is>
      </c>
    </row>
    <row r="231" ht="17" customHeight="1">
      <c r="A231" s="11" t="inlineStr">
        <is>
          <t>녹차추출물</t>
        </is>
      </c>
      <c r="B231" s="12" t="inlineStr">
        <is>
          <t>Camellia Sinensis Leaf Extract</t>
        </is>
      </c>
      <c r="C231" s="15" t="inlineStr">
        <is>
          <t>C</t>
        </is>
      </c>
      <c r="D231" s="14" t="n">
        <v>2</v>
      </c>
      <c r="E231" s="14" t="n">
        <v>2</v>
      </c>
      <c r="F231" s="12" t="inlineStr">
        <is>
          <t>녹차 폴리페놀(EGCG). 항산화·피지·진정.</t>
        </is>
      </c>
    </row>
    <row r="232" ht="17" customHeight="1">
      <c r="A232" s="11" t="inlineStr">
        <is>
          <t>페녹시에탄올</t>
        </is>
      </c>
      <c r="B232" s="12" t="inlineStr">
        <is>
          <t>Phenoxyethanol</t>
        </is>
      </c>
      <c r="C232" s="15" t="inlineStr">
        <is>
          <t>C</t>
        </is>
      </c>
      <c r="D232" s="14" t="n">
        <v>0.5</v>
      </c>
      <c r="E232" s="14" t="n">
        <v>0.5</v>
      </c>
      <c r="F232" s="12" t="inlineStr">
        <is>
          <t>세균·곰팡이를 막는 방부제(물 든 제품엔 필수).</t>
        </is>
      </c>
    </row>
    <row r="233" ht="17" customHeight="1">
      <c r="A233" s="11" t="inlineStr">
        <is>
          <t>1,2-헥산다이올</t>
        </is>
      </c>
      <c r="B233" s="12" t="inlineStr">
        <is>
          <t>1,2-Hexanediol</t>
        </is>
      </c>
      <c r="C233" s="15" t="inlineStr">
        <is>
          <t>C</t>
        </is>
      </c>
      <c r="D233" s="14" t="n">
        <v>1</v>
      </c>
      <c r="E233" s="14" t="n">
        <v>1</v>
      </c>
      <c r="F233" s="12" t="inlineStr">
        <is>
          <t>방부를 돕고 보습도 하는 부스터.</t>
        </is>
      </c>
    </row>
    <row r="234" ht="32" customHeight="1">
      <c r="A234" s="11" t="inlineStr">
        <is>
          <t>구연산</t>
        </is>
      </c>
      <c r="B234" s="12" t="inlineStr">
        <is>
          <t>Citric Acid</t>
        </is>
      </c>
      <c r="C234" s="16" t="inlineStr">
        <is>
          <t>pH</t>
        </is>
      </c>
      <c r="D234" s="14" t="n">
        <v>0.2</v>
      </c>
      <c r="E234" s="14" t="n">
        <v>0.2</v>
      </c>
      <c r="F234" s="12" t="inlineStr">
        <is>
          <t>산도(pH)를 피부에 맞게 낮추는 조절제.  ※pH 5.0~5.5 q.s.</t>
        </is>
      </c>
    </row>
    <row r="235">
      <c r="A235" s="17" t="inlineStr">
        <is>
          <t>합계</t>
        </is>
      </c>
      <c r="B235" s="18" t="n"/>
      <c r="C235" s="18" t="n"/>
      <c r="D235" s="19" t="n">
        <v>100</v>
      </c>
      <c r="E235" s="19" t="n">
        <v>100</v>
      </c>
      <c r="F235" s="18" t="n"/>
    </row>
    <row r="236" ht="17" customHeight="1">
      <c r="A236" s="8" t="inlineStr">
        <is>
          <t>만드는 법</t>
        </is>
      </c>
    </row>
    <row r="237" ht="47" customHeight="1">
      <c r="A237" s="9" t="inlineStr">
        <is>
          <t>① 준비·동선: 도구·용기·교반날을 70% 알코올로 소독. 비커는 100g 배치 기준 수상 A=250mL(HS5Pro 위), 유상 B=100mL(중탕용), 냉각 C는 유산지/소형 비커에 계량(200g면 500mL/250mL). ★가열·유화·냄새나는 계량은 '클린벤치 밖'(환기), 식힌 뒤 충전·마무리만 클린벤치 안.</t>
        </is>
      </c>
    </row>
    <row r="238" ht="17" customHeight="1">
      <c r="A238" s="9" t="inlineStr">
        <is>
          <t>★ 계량·비커 (처음이면 꼭 — 100g 배치 기준):</t>
        </is>
      </c>
    </row>
    <row r="239" ht="32" customHeight="1">
      <c r="A239" s="9" t="inlineStr">
        <is>
          <t>– 저울 2개를 나눠 쓴다: 정제수·오일처럼 많은 양은 벤치저울(0.1g 단위), 활성·검·보존제·향처럼 1% 이하 소량은 정밀저울(0.01g 단위). 소량을 큰 저울로 재면 오차가 처방을 망친다.</t>
        </is>
      </c>
    </row>
    <row r="240" ht="32" customHeight="1">
      <c r="A240" s="9" t="inlineStr">
        <is>
          <t>– 분말·점성 원료: 저울에 유산지(칭량지)를 깔고 → 영점(TARE 버튼) → 원료를 담는다. 글리세린·오일 같은 액체는 '받을 비커'를 올리고 TARE 후 바로 부어 넣는다(유산지에 눌어붙음 방지).</t>
        </is>
      </c>
    </row>
    <row r="241" ht="17" customHeight="1">
      <c r="A241" s="9" t="inlineStr">
        <is>
          <t>– 정제수는 '맨 마지막에 100g을 맞추는 잔량'으로 넣는다(다른 걸 다 더하고 남는 양).</t>
        </is>
      </c>
    </row>
    <row r="242" ht="17" customHeight="1">
      <c r="A242" s="9" t="inlineStr">
        <is>
          <t>– 비커 크기 = 내용물의 약 2~2.5배(가열·교반 때 넘침 방지). 200g 배치면 한 단계 큰 비커로.</t>
        </is>
      </c>
    </row>
    <row r="243" ht="17" customHeight="1">
      <c r="A243" s="9" t="inlineStr">
        <is>
          <t>– 흘리면 닦고 다시. 통에 손·젖은 도구 넣지 않기(오염). 소량은 깨끗한 스패출러로.</t>
        </is>
      </c>
    </row>
    <row r="244" ht="32" customHeight="1">
      <c r="A244" s="9" t="inlineStr">
        <is>
          <t>② 상 나눠 계량: 수상 A(정제수·글리세린·판테놀·검) / 유상 B(오일·세틸알코올·몬타노브68) / 냉각 C(보존제·향·열 약한 활성)는 대기. 검은 글리세린에 선분산.</t>
        </is>
      </c>
    </row>
    <row r="245" ht="32" customHeight="1">
      <c r="A245" s="9" t="inlineStr">
        <is>
          <t>③ 수상 A 가열: HS5Pro 비커에 자석교반자(stir bar)를 넣고 중속 교반 + ★온도 프로브를 'A 액체'에 꽂아 70~75℃ 제어(상판 온도 아님).</t>
        </is>
      </c>
    </row>
    <row r="246" ht="32" customHeight="1">
      <c r="A246" s="9" t="inlineStr">
        <is>
          <t>④ 유상 B 가열: 냄비 중탕으로 70~75℃까지 '용해'(교반보다 완전 용해가 중요). 별도 디지털 온도계로 B 확인(감 X). (항온수조 OB-2Pro는 아직 미보유라 중탕으로 대체)</t>
        </is>
      </c>
    </row>
    <row r="247" ht="32" customHeight="1">
      <c r="A247" s="9" t="inlineStr">
        <is>
          <t>⑤ 두 상 70~75℃에서 약 20분 유지(완전 용해+미생물 부담↓). 시계접시·뚜껑으로 덮어 증발을 줄이고, 합치기 직전 줄어든 무게만큼 뜨거운 정제수로 보충.</t>
        </is>
      </c>
    </row>
    <row r="248" ht="32" customHeight="1">
      <c r="A248" s="9" t="inlineStr">
        <is>
          <t>⑥ 합치기 전: 수상의 자석교반자를 회수 막대로 빼둔다(호모 날 충돌 방지). 두 상 온도를 ±5℃로 맞춘다(어긋나면 유화가 안 붙는다).</t>
        </is>
      </c>
    </row>
    <row r="249" ht="32" customHeight="1">
      <c r="A249" s="9" t="inlineStr">
        <is>
          <t>⑦ 유화(HZ-400): 유상 B를 수상 A에 부으며 호모나이저 날이 충분히 잠기게 세우고 2~5분 고속. 비커 벽 따라 천천히 이동해 전체를 균질화. ★유화는 오직 호모 몫 — 마그네틱·손젓기는 전단이 부족해 분리된다.</t>
        </is>
      </c>
    </row>
    <row r="250" ht="17" customHeight="1">
      <c r="A250" s="9" t="inlineStr">
        <is>
          <t>⑧ '붙으면'(뽀얀 크림색) 호모를 멈춘다. 오래 돌리면 기포·점도 저하 → 바로 냉각 교반으로 전환.</t>
        </is>
      </c>
    </row>
    <row r="251" ht="32" customHeight="1">
      <c r="A251" s="9" t="inlineStr">
        <is>
          <t>⑨ 냉각 교반(OC-15S): 오버헤드 패들을 바닥서 1~2cm 띄우고 저속으로 40℃까지. 소용돌이가 깊으면 공기를 말아 기포가 된다. 묽은 로션은 HS5Pro 마그네틱만으로도 가능.</t>
        </is>
      </c>
    </row>
    <row r="252" ht="17" customHeight="1">
      <c r="A252" s="9" t="inlineStr">
        <is>
          <t>⑩ 40℃ 이하서 냉각첨가 C: 보존제(페녹시+헥산다이올)·향·열 약한 활성. 뜨거울 때 넣으면 날아가거나 변질된다.</t>
        </is>
      </c>
    </row>
    <row r="253" ht="32" customHeight="1">
      <c r="A253" s="9" t="inlineStr">
        <is>
          <t>⑪ pH: 30℃대~실온에서 pH미터(교정 후)로 측정 → 5.0~5.5로 보정(구연산 희석액 한 방울씩, 다시 측정). 증발분은 정제수로 총량 100g 맞춤.</t>
        </is>
      </c>
    </row>
    <row r="254" ht="32" customHeight="1">
      <c r="A254" s="9" t="inlineStr">
        <is>
          <t>⑫ ★당일 유화 판정(LC-8S 원심): 15mL 튜브에 ~10g씩 2개(무게 대칭) → 3,000rpm·30분 → 분리층(오일링/크리밍/침전) mm 확인 → 개발일지 '분리mm'에 숫자로 기록. 0이면 안정성 큐로, 있으면 튜닝/접기.</t>
        </is>
      </c>
    </row>
    <row r="255" ht="32" customHeight="1">
      <c r="A255" s="9" t="inlineStr">
        <is>
          <t>⑬ 충전·안정성: 클린벤치 안에서 소독한 용기에 충전. 투명 바이알에 4조건(45℃·실온·4℃·냉동융해)+대조군 소분, 1·2·4·8주 관찰(45℃는 발효기/인큐베이터).</t>
        </is>
      </c>
    </row>
    <row r="256" ht="32" customHeight="1">
      <c r="A256" s="9" t="inlineStr">
        <is>
          <t>★ 크림(유상↑): 유상 완전 용해에 시간 더 / 호모는 '더 짧게 확실히'(점도 높아 기포 위험) / 오버헤드 냉각은 '더 길게'(굳기 전 C 투입).</t>
        </is>
      </c>
    </row>
    <row r="257" ht="17" customHeight="1">
      <c r="A257" s="9" t="inlineStr">
        <is>
          <t>★ pH 스트립 읽는 법:</t>
        </is>
      </c>
    </row>
    <row r="258" ht="32" customHeight="1">
      <c r="A258" s="9" t="inlineStr">
        <is>
          <t>– 스트립을 액에 1초 담갔다 빼고, 10~15초 뒤(설명서 시간) 색이 멈췄을 때 '자연광'에서 통에 인쇄된 색표와 맞춘다(형광등 아래는 색이 왜곡된다).</t>
        </is>
      </c>
    </row>
    <row r="259" ht="32" customHeight="1">
      <c r="A259" s="9" t="inlineStr">
        <is>
          <t>– 색표 두 칸 사이로 보이면 중간값으로 읽는다(예: 5와 5.5 사이면 ≈5.2). 0.2~0.5 눈금의 정밀 스트립을 권장.</t>
        </is>
      </c>
    </row>
    <row r="260" ht="17" customHeight="1">
      <c r="A260" s="9" t="inlineStr">
        <is>
          <t>– 크림·젤처럼 되직해 색이 안 보이면 정제수와 1:1로 풀어서 잰다(묽혀도 pH는 거의 그대로).</t>
        </is>
      </c>
    </row>
    <row r="261" ht="17" customHeight="1">
      <c r="A261" s="9" t="inlineStr">
        <is>
          <t>– 색이 금세 바래니 빼서 오래 두지 말고 바로 판독. 젖은 손·금속이 스트립에 닿지 않게.</t>
        </is>
      </c>
    </row>
    <row r="262" ht="17" customHeight="1">
      <c r="A262" s="9" t="inlineStr">
        <is>
          <t>– 목표 5.0~5.5. 더 정확히는 pH 미터(보정액으로 교정 후 사용). 스트립은 ±0.3 오차가 정상이다.</t>
        </is>
      </c>
    </row>
    <row r="263" ht="32" customHeight="1">
      <c r="A263" s="9" t="inlineStr">
        <is>
          <t>★ 흔한 실수: 두 상 온도 안 맞춤(분리) / 자석바 안 빼고 호모(충돌) / 호모 과다(기포·점도↓) / 식기 전 C 투입(열 파괴).</t>
        </is>
      </c>
    </row>
    <row r="265" ht="26" customHeight="1">
      <c r="A265" s="6" t="inlineStr">
        <is>
          <t>[⑦ 유화 완성 — 히어로 v2, 오일 ~17%]   시크 진정 밸런스 크림 (히어로)   ·   크림(유화·리치)   ·   sebum-calm-cream</t>
        </is>
      </c>
    </row>
    <row r="266" ht="17" customHeight="1">
      <c r="A266" s="7" t="inlineStr">
        <is>
          <t>컨셉 │ 히어로 제품. 지성·예민 피부 무향 진정 밸런스 크림(sebum-calm-cream v2).</t>
        </is>
      </c>
    </row>
    <row r="267" ht="17" customHeight="1">
      <c r="A267" s="8" t="inlineStr">
        <is>
          <t>설계 이유 (왜 이렇게 만들었나)</t>
        </is>
      </c>
    </row>
    <row r="268" ht="17" customHeight="1">
      <c r="A268" s="9" t="inlineStr">
        <is>
          <t>· 브랜드 히어로 — 진정·보습·피지의 균형을 잡은 완성형.</t>
        </is>
      </c>
    </row>
    <row r="269" ht="17" customHeight="1">
      <c r="A269" s="9" t="inlineStr">
        <is>
          <t>· 말라세지아-세이프 전면 적용: C11~24 지방산 오일(올리브·코코넛·호호바·버터) 배제, 무향.</t>
        </is>
      </c>
    </row>
    <row r="270" ht="32" customHeight="1">
      <c r="A270" s="9" t="inlineStr">
        <is>
          <t>· 층층이 설계: 활성(나이아신아마이드·아연PCA·시카·녹차)+보습(HA·글리세린)+세이프 에몰리언트(스쿠알란·MCT·디메치콘).</t>
        </is>
      </c>
    </row>
    <row r="271" ht="17" customHeight="1">
      <c r="A271" s="9" t="inlineStr">
        <is>
          <t>· 가장 난도 높은 완전 유화 — 토너→젤→로션을 거쳐 오면 자연스럽다.</t>
        </is>
      </c>
    </row>
    <row r="272" ht="17" customHeight="1">
      <c r="A272" s="7" t="inlineStr">
        <is>
          <t>특징 │ 진정·보습 밸런스  ·  말라세지아-세이프 전면 적용  ·  무향  ·  50mL 자(jar)</t>
        </is>
      </c>
    </row>
    <row r="273">
      <c r="A273" s="10" t="inlineStr">
        <is>
          <t>원료</t>
        </is>
      </c>
      <c r="B273" s="10" t="inlineStr">
        <is>
          <t>INCI</t>
        </is>
      </c>
      <c r="C273" s="10" t="inlineStr">
        <is>
          <t>상</t>
        </is>
      </c>
      <c r="D273" s="10" t="inlineStr">
        <is>
          <t>%</t>
        </is>
      </c>
      <c r="E273" s="10" t="inlineStr">
        <is>
          <t>g(100g)</t>
        </is>
      </c>
      <c r="F273" s="10" t="inlineStr">
        <is>
          <t>이 원료가 하는 일</t>
        </is>
      </c>
    </row>
    <row r="274" ht="17" customHeight="1">
      <c r="A274" s="11" t="inlineStr">
        <is>
          <t>정제수</t>
        </is>
      </c>
      <c r="B274" s="12" t="inlineStr">
        <is>
          <t>Water</t>
        </is>
      </c>
      <c r="C274" s="13" t="inlineStr">
        <is>
          <t>A</t>
        </is>
      </c>
      <c r="D274" s="14" t="n">
        <v>63.5</v>
      </c>
      <c r="E274" s="14" t="n">
        <v>63.5</v>
      </c>
      <c r="F274" s="12" t="inlineStr">
        <is>
          <t>모든 성분을 녹이는 바탕(제품의 대부분을 차지).  ※베이스</t>
        </is>
      </c>
    </row>
    <row r="275" ht="32" customHeight="1">
      <c r="A275" s="11" t="inlineStr">
        <is>
          <t>글리세린</t>
        </is>
      </c>
      <c r="B275" s="12" t="inlineStr">
        <is>
          <t>Glycerin</t>
        </is>
      </c>
      <c r="C275" s="13" t="inlineStr">
        <is>
          <t>A</t>
        </is>
      </c>
      <c r="D275" s="14" t="n">
        <v>5</v>
      </c>
      <c r="E275" s="14" t="n">
        <v>5</v>
      </c>
      <c r="F275" s="12" t="inlineStr">
        <is>
          <t>수분을 끌어당기는 대표 보습제. 잔탄검을 미리 개는 매개로도 쓴다.</t>
        </is>
      </c>
    </row>
    <row r="276" ht="17" customHeight="1">
      <c r="A276" s="11" t="inlineStr">
        <is>
          <t>나이아신아마이드</t>
        </is>
      </c>
      <c r="B276" s="12" t="inlineStr">
        <is>
          <t>Niacinamide</t>
        </is>
      </c>
      <c r="C276" s="13" t="inlineStr">
        <is>
          <t>A</t>
        </is>
      </c>
      <c r="D276" s="14" t="n">
        <v>2</v>
      </c>
      <c r="E276" s="14" t="n">
        <v>2</v>
      </c>
      <c r="F276" s="12" t="inlineStr">
        <is>
          <t>비타민B3. 피지·모공·피부톤·장벽을 두루 돕는 대표 활성.</t>
        </is>
      </c>
    </row>
    <row r="277" ht="17" customHeight="1">
      <c r="A277" s="11" t="inlineStr">
        <is>
          <t>알란토인</t>
        </is>
      </c>
      <c r="B277" s="12" t="inlineStr">
        <is>
          <t>Allantoin</t>
        </is>
      </c>
      <c r="C277" s="13" t="inlineStr">
        <is>
          <t>A</t>
        </is>
      </c>
      <c r="D277" s="14" t="n">
        <v>0.5</v>
      </c>
      <c r="E277" s="14" t="n">
        <v>0.5</v>
      </c>
      <c r="F277" s="12" t="inlineStr">
        <is>
          <t>자극을 가라앉히는 진정 성분.</t>
        </is>
      </c>
    </row>
    <row r="278" ht="17" customHeight="1">
      <c r="A278" s="11" t="inlineStr">
        <is>
          <t>베타글루칸</t>
        </is>
      </c>
      <c r="B278" s="12" t="inlineStr">
        <is>
          <t>Beta-Glucan</t>
        </is>
      </c>
      <c r="C278" s="13" t="inlineStr">
        <is>
          <t>A</t>
        </is>
      </c>
      <c r="D278" s="14" t="n">
        <v>1</v>
      </c>
      <c r="E278" s="14" t="n">
        <v>1</v>
      </c>
      <c r="F278" s="12" t="inlineStr">
        <is>
          <t>진정+수분. 예민한 피부를 달랜다.</t>
        </is>
      </c>
    </row>
    <row r="279" ht="17" customHeight="1">
      <c r="A279" s="11" t="inlineStr">
        <is>
          <t>아연피카</t>
        </is>
      </c>
      <c r="B279" s="12" t="inlineStr">
        <is>
          <t>Zinc PCA</t>
        </is>
      </c>
      <c r="C279" s="13" t="inlineStr">
        <is>
          <t>A</t>
        </is>
      </c>
      <c r="D279" s="14" t="n">
        <v>1</v>
      </c>
      <c r="E279" s="14" t="n">
        <v>1</v>
      </c>
      <c r="F279" s="12" t="inlineStr">
        <is>
          <t>피지(기름기)를 조절해 번들거림을 줄인다.</t>
        </is>
      </c>
    </row>
    <row r="280" ht="32" customHeight="1">
      <c r="A280" s="11" t="inlineStr">
        <is>
          <t>프로판디올</t>
        </is>
      </c>
      <c r="B280" s="12" t="inlineStr">
        <is>
          <t>Propanediol</t>
        </is>
      </c>
      <c r="C280" s="13" t="inlineStr">
        <is>
          <t>A</t>
        </is>
      </c>
      <c r="D280" s="14" t="n">
        <v>3</v>
      </c>
      <c r="E280" s="14" t="n">
        <v>3</v>
      </c>
      <c r="F280" s="12" t="inlineStr">
        <is>
          <t>보습하면서 방부를 거드는 보조 폴리올.  ※v2 펜틸렌글라이콜 → 보유 프로판디올 대체</t>
        </is>
      </c>
    </row>
    <row r="281" ht="32" customHeight="1">
      <c r="A281" s="11" t="inlineStr">
        <is>
          <t>잔탄검</t>
        </is>
      </c>
      <c r="B281" s="12" t="inlineStr">
        <is>
          <t>Xanthan Gum</t>
        </is>
      </c>
      <c r="C281" s="13" t="inlineStr">
        <is>
          <t>A</t>
        </is>
      </c>
      <c r="D281" s="14" t="n">
        <v>0.3</v>
      </c>
      <c r="E281" s="14" t="n">
        <v>0.3</v>
      </c>
      <c r="F281" s="12" t="inlineStr">
        <is>
          <t>천연 점증제. 젤·에멀전에 점도와 안정성을 준다(글리세린에 선분산).  ※글리세린 선분산</t>
        </is>
      </c>
    </row>
    <row r="282" ht="32" customHeight="1">
      <c r="A282" s="11" t="inlineStr">
        <is>
          <t>다중 히알루론산</t>
        </is>
      </c>
      <c r="B282" s="12" t="inlineStr">
        <is>
          <t>Hyaluronic Acids</t>
        </is>
      </c>
      <c r="C282" s="13" t="inlineStr">
        <is>
          <t>A</t>
        </is>
      </c>
      <c r="D282" s="14" t="n">
        <v>1</v>
      </c>
      <c r="E282" s="14" t="n">
        <v>1</v>
      </c>
      <c r="F282" s="12" t="inlineStr">
        <is>
          <t>분자 크기별 히알루론산으로 층층이 수분 충전(유분 없이 보습).</t>
        </is>
      </c>
    </row>
    <row r="283" ht="32" customHeight="1">
      <c r="A283" s="11" t="inlineStr">
        <is>
          <t>몬타노브68</t>
        </is>
      </c>
      <c r="B283" s="12" t="inlineStr">
        <is>
          <t>Cetearyl Alcohol &amp; Cetearyl Glucoside</t>
        </is>
      </c>
      <c r="C283" s="20" t="inlineStr">
        <is>
          <t>B</t>
        </is>
      </c>
      <c r="D283" s="14" t="n">
        <v>4</v>
      </c>
      <c r="E283" s="14" t="n">
        <v>4</v>
      </c>
      <c r="F283" s="12" t="inlineStr">
        <is>
          <t>물과 기름을 섞어주는 유화제(글루코사이드계·세이프).  ※유화제(세이프)</t>
        </is>
      </c>
    </row>
    <row r="284" ht="17" customHeight="1">
      <c r="A284" s="11" t="inlineStr">
        <is>
          <t>세틸알코올</t>
        </is>
      </c>
      <c r="B284" s="12" t="inlineStr">
        <is>
          <t>Cetyl Alcohol</t>
        </is>
      </c>
      <c r="C284" s="20" t="inlineStr">
        <is>
          <t>B</t>
        </is>
      </c>
      <c r="D284" s="14" t="n">
        <v>2</v>
      </c>
      <c r="E284" s="14" t="n">
        <v>2</v>
      </c>
      <c r="F284" s="12" t="inlineStr">
        <is>
          <t>유화를 안정화하고 바디·발림감을 주는 지방알코올.</t>
        </is>
      </c>
    </row>
    <row r="285" ht="17" customHeight="1">
      <c r="A285" s="11" t="inlineStr">
        <is>
          <t>스쿠알란</t>
        </is>
      </c>
      <c r="B285" s="12" t="inlineStr">
        <is>
          <t>Squalane</t>
        </is>
      </c>
      <c r="C285" s="20" t="inlineStr">
        <is>
          <t>B</t>
        </is>
      </c>
      <c r="D285" s="14" t="n">
        <v>5</v>
      </c>
      <c r="E285" s="14" t="n">
        <v>5</v>
      </c>
      <c r="F285" s="12" t="inlineStr">
        <is>
          <t>가볍고 안정적인 보습 오일. 피부 유래라 순함(세이프).</t>
        </is>
      </c>
    </row>
    <row r="286" ht="17" customHeight="1">
      <c r="A286" s="11" t="inlineStr">
        <is>
          <t>MCT오일</t>
        </is>
      </c>
      <c r="B286" s="12" t="inlineStr">
        <is>
          <t>Caprylic/Capric Triglyceride</t>
        </is>
      </c>
      <c r="C286" s="20" t="inlineStr">
        <is>
          <t>B</t>
        </is>
      </c>
      <c r="D286" s="14" t="n">
        <v>3</v>
      </c>
      <c r="E286" s="14" t="n">
        <v>3</v>
      </c>
      <c r="F286" s="12" t="inlineStr">
        <is>
          <t>아주 가벼운 오일. 세정·발림 베이스(C8/C10·세이프).</t>
        </is>
      </c>
    </row>
    <row r="287" ht="17" customHeight="1">
      <c r="A287" s="11" t="inlineStr">
        <is>
          <t>디메치콘</t>
        </is>
      </c>
      <c r="B287" s="12" t="inlineStr">
        <is>
          <t>Dimethicone</t>
        </is>
      </c>
      <c r="C287" s="20" t="inlineStr">
        <is>
          <t>B</t>
        </is>
      </c>
      <c r="D287" s="14" t="n">
        <v>3</v>
      </c>
      <c r="E287" s="14" t="n">
        <v>3</v>
      </c>
      <c r="F287" s="12" t="inlineStr">
        <is>
          <t>실키한 발림과 얇은 보호막을 주는 실리콘.</t>
        </is>
      </c>
    </row>
    <row r="288" ht="32" customHeight="1">
      <c r="A288" s="11" t="inlineStr">
        <is>
          <t>마데카소사이드</t>
        </is>
      </c>
      <c r="B288" s="12" t="inlineStr">
        <is>
          <t>Madecassoside</t>
        </is>
      </c>
      <c r="C288" s="15" t="inlineStr">
        <is>
          <t>C</t>
        </is>
      </c>
      <c r="D288" s="14" t="n">
        <v>1</v>
      </c>
      <c r="E288" s="14" t="n">
        <v>1</v>
      </c>
      <c r="F288" s="12" t="inlineStr">
        <is>
          <t>병풀(시카)의 진정 핵심 성분.  ※v2 센텔라추출물 → 보유 마데카소사이드 대체</t>
        </is>
      </c>
    </row>
    <row r="289" ht="17" customHeight="1">
      <c r="A289" s="11" t="inlineStr">
        <is>
          <t>판테놀(B5)</t>
        </is>
      </c>
      <c r="B289" s="12" t="inlineStr">
        <is>
          <t>Panthenol</t>
        </is>
      </c>
      <c r="C289" s="15" t="inlineStr">
        <is>
          <t>C</t>
        </is>
      </c>
      <c r="D289" s="14" t="n">
        <v>1</v>
      </c>
      <c r="E289" s="14" t="n">
        <v>1</v>
      </c>
      <c r="F289" s="12" t="inlineStr">
        <is>
          <t>프로비타민B5. 보습·진정·장벽 회복.</t>
        </is>
      </c>
    </row>
    <row r="290" ht="17" customHeight="1">
      <c r="A290" s="11" t="inlineStr">
        <is>
          <t>녹차추출물</t>
        </is>
      </c>
      <c r="B290" s="12" t="inlineStr">
        <is>
          <t>Camellia Sinensis Leaf Extract</t>
        </is>
      </c>
      <c r="C290" s="15" t="inlineStr">
        <is>
          <t>C</t>
        </is>
      </c>
      <c r="D290" s="14" t="n">
        <v>2</v>
      </c>
      <c r="E290" s="14" t="n">
        <v>2</v>
      </c>
      <c r="F290" s="12" t="inlineStr">
        <is>
          <t>녹차 폴리페놀(EGCG). 항산화·피지·진정.</t>
        </is>
      </c>
    </row>
    <row r="291" ht="17" customHeight="1">
      <c r="A291" s="11" t="inlineStr">
        <is>
          <t>페녹시에탄올</t>
        </is>
      </c>
      <c r="B291" s="12" t="inlineStr">
        <is>
          <t>Phenoxyethanol</t>
        </is>
      </c>
      <c r="C291" s="15" t="inlineStr">
        <is>
          <t>C</t>
        </is>
      </c>
      <c r="D291" s="14" t="n">
        <v>0.7</v>
      </c>
      <c r="E291" s="14" t="n">
        <v>0.7</v>
      </c>
      <c r="F291" s="12" t="inlineStr">
        <is>
          <t>세균·곰팡이를 막는 방부제(물 든 제품엔 필수).</t>
        </is>
      </c>
    </row>
    <row r="292" ht="17" customHeight="1">
      <c r="A292" s="11" t="inlineStr">
        <is>
          <t>1,2-헥산다이올</t>
        </is>
      </c>
      <c r="B292" s="12" t="inlineStr">
        <is>
          <t>1,2-Hexanediol</t>
        </is>
      </c>
      <c r="C292" s="15" t="inlineStr">
        <is>
          <t>C</t>
        </is>
      </c>
      <c r="D292" s="14" t="n">
        <v>1</v>
      </c>
      <c r="E292" s="14" t="n">
        <v>1</v>
      </c>
      <c r="F292" s="12" t="inlineStr">
        <is>
          <t>방부를 돕고 보습도 하는 부스터.</t>
        </is>
      </c>
    </row>
    <row r="293">
      <c r="A293" s="17" t="inlineStr">
        <is>
          <t>합계</t>
        </is>
      </c>
      <c r="B293" s="18" t="n"/>
      <c r="C293" s="18" t="n"/>
      <c r="D293" s="19" t="n">
        <v>100</v>
      </c>
      <c r="E293" s="19" t="n">
        <v>100</v>
      </c>
      <c r="F293" s="18" t="n"/>
    </row>
    <row r="294" ht="17" customHeight="1">
      <c r="A294" s="8" t="inlineStr">
        <is>
          <t>만드는 법</t>
        </is>
      </c>
    </row>
    <row r="295" ht="47" customHeight="1">
      <c r="A295" s="9" t="inlineStr">
        <is>
          <t>① 준비·동선: 도구·용기·교반날을 70% 알코올로 소독. 비커는 100g 배치 기준 수상 A=250mL(HS5Pro 위), 유상 B=100mL(중탕용), 냉각 C는 유산지/소형 비커에 계량(200g면 500mL/250mL). ★가열·유화·냄새나는 계량은 '클린벤치 밖'(환기), 식힌 뒤 충전·마무리만 클린벤치 안.</t>
        </is>
      </c>
    </row>
    <row r="296" ht="17" customHeight="1">
      <c r="A296" s="9" t="inlineStr">
        <is>
          <t>★ 계량·비커 (처음이면 꼭 — 100g 배치 기준):</t>
        </is>
      </c>
    </row>
    <row r="297" ht="32" customHeight="1">
      <c r="A297" s="9" t="inlineStr">
        <is>
          <t>– 저울 2개를 나눠 쓴다: 정제수·오일처럼 많은 양은 벤치저울(0.1g 단위), 활성·검·보존제·향처럼 1% 이하 소량은 정밀저울(0.01g 단위). 소량을 큰 저울로 재면 오차가 처방을 망친다.</t>
        </is>
      </c>
    </row>
    <row r="298" ht="32" customHeight="1">
      <c r="A298" s="9" t="inlineStr">
        <is>
          <t>– 분말·점성 원료: 저울에 유산지(칭량지)를 깔고 → 영점(TARE 버튼) → 원료를 담는다. 글리세린·오일 같은 액체는 '받을 비커'를 올리고 TARE 후 바로 부어 넣는다(유산지에 눌어붙음 방지).</t>
        </is>
      </c>
    </row>
    <row r="299" ht="17" customHeight="1">
      <c r="A299" s="9" t="inlineStr">
        <is>
          <t>– 정제수는 '맨 마지막에 100g을 맞추는 잔량'으로 넣는다(다른 걸 다 더하고 남는 양).</t>
        </is>
      </c>
    </row>
    <row r="300" ht="17" customHeight="1">
      <c r="A300" s="9" t="inlineStr">
        <is>
          <t>– 비커 크기 = 내용물의 약 2~2.5배(가열·교반 때 넘침 방지). 200g 배치면 한 단계 큰 비커로.</t>
        </is>
      </c>
    </row>
    <row r="301" ht="17" customHeight="1">
      <c r="A301" s="9" t="inlineStr">
        <is>
          <t>– 흘리면 닦고 다시. 통에 손·젖은 도구 넣지 않기(오염). 소량은 깨끗한 스패출러로.</t>
        </is>
      </c>
    </row>
    <row r="302" ht="32" customHeight="1">
      <c r="A302" s="9" t="inlineStr">
        <is>
          <t>② 상 나눠 계량: 수상 A(정제수·글리세린·판테놀·검) / 유상 B(오일·세틸알코올·몬타노브68) / 냉각 C(보존제·향·열 약한 활성)는 대기. 검은 글리세린에 선분산.</t>
        </is>
      </c>
    </row>
    <row r="303" ht="32" customHeight="1">
      <c r="A303" s="9" t="inlineStr">
        <is>
          <t>③ 수상 A 가열: HS5Pro 비커에 자석교반자(stir bar)를 넣고 중속 교반 + ★온도 프로브를 'A 액체'에 꽂아 70~75℃ 제어(상판 온도 아님).</t>
        </is>
      </c>
    </row>
    <row r="304" ht="32" customHeight="1">
      <c r="A304" s="9" t="inlineStr">
        <is>
          <t>④ 유상 B 가열: 냄비 중탕으로 70~75℃까지 '용해'(교반보다 완전 용해가 중요). 별도 디지털 온도계로 B 확인(감 X). (항온수조 OB-2Pro는 아직 미보유라 중탕으로 대체)</t>
        </is>
      </c>
    </row>
    <row r="305" ht="32" customHeight="1">
      <c r="A305" s="9" t="inlineStr">
        <is>
          <t>⑤ 두 상 70~75℃에서 약 20분 유지(완전 용해+미생물 부담↓). 시계접시·뚜껑으로 덮어 증발을 줄이고, 합치기 직전 줄어든 무게만큼 뜨거운 정제수로 보충.</t>
        </is>
      </c>
    </row>
    <row r="306" ht="32" customHeight="1">
      <c r="A306" s="9" t="inlineStr">
        <is>
          <t>⑥ 합치기 전: 수상의 자석교반자를 회수 막대로 빼둔다(호모 날 충돌 방지). 두 상 온도를 ±5℃로 맞춘다(어긋나면 유화가 안 붙는다).</t>
        </is>
      </c>
    </row>
    <row r="307" ht="32" customHeight="1">
      <c r="A307" s="9" t="inlineStr">
        <is>
          <t>⑦ 유화(HZ-400): 유상 B를 수상 A에 부으며 호모나이저 날이 충분히 잠기게 세우고 2~5분 고속. 비커 벽 따라 천천히 이동해 전체를 균질화. ★유화는 오직 호모 몫 — 마그네틱·손젓기는 전단이 부족해 분리된다.</t>
        </is>
      </c>
    </row>
    <row r="308" ht="17" customHeight="1">
      <c r="A308" s="9" t="inlineStr">
        <is>
          <t>⑧ '붙으면'(뽀얀 크림색) 호모를 멈춘다. 오래 돌리면 기포·점도 저하 → 바로 냉각 교반으로 전환.</t>
        </is>
      </c>
    </row>
    <row r="309" ht="32" customHeight="1">
      <c r="A309" s="9" t="inlineStr">
        <is>
          <t>⑨ 냉각 교반(OC-15S): 오버헤드 패들을 바닥서 1~2cm 띄우고 저속으로 40℃까지. 소용돌이가 깊으면 공기를 말아 기포가 된다. 묽은 로션은 HS5Pro 마그네틱만으로도 가능.</t>
        </is>
      </c>
    </row>
    <row r="310" ht="17" customHeight="1">
      <c r="A310" s="9" t="inlineStr">
        <is>
          <t>⑩ 40℃ 이하서 냉각첨가 C: 보존제(페녹시+헥산다이올)·향·열 약한 활성. 뜨거울 때 넣으면 날아가거나 변질된다.</t>
        </is>
      </c>
    </row>
    <row r="311" ht="32" customHeight="1">
      <c r="A311" s="9" t="inlineStr">
        <is>
          <t>⑪ pH: 30℃대~실온에서 pH미터(교정 후)로 측정 → 5.0~5.5로 보정(구연산 희석액 한 방울씩, 다시 측정). 증발분은 정제수로 총량 100g 맞춤.</t>
        </is>
      </c>
    </row>
    <row r="312" ht="32" customHeight="1">
      <c r="A312" s="9" t="inlineStr">
        <is>
          <t>⑫ ★당일 유화 판정(LC-8S 원심): 15mL 튜브에 ~10g씩 2개(무게 대칭) → 3,000rpm·30분 → 분리층(오일링/크리밍/침전) mm 확인 → 개발일지 '분리mm'에 숫자로 기록. 0이면 안정성 큐로, 있으면 튜닝/접기.</t>
        </is>
      </c>
    </row>
    <row r="313" ht="32" customHeight="1">
      <c r="A313" s="9" t="inlineStr">
        <is>
          <t>⑬ 충전·안정성: 클린벤치 안에서 소독한 용기에 충전. 투명 바이알에 4조건(45℃·실온·4℃·냉동융해)+대조군 소분, 1·2·4·8주 관찰(45℃는 발효기/인큐베이터).</t>
        </is>
      </c>
    </row>
    <row r="314" ht="32" customHeight="1">
      <c r="A314" s="9" t="inlineStr">
        <is>
          <t>★ 크림(유상↑): 유상 완전 용해에 시간 더 / 호모는 '더 짧게 확실히'(점도 높아 기포 위험) / 오버헤드 냉각은 '더 길게'(굳기 전 C 투입).</t>
        </is>
      </c>
    </row>
    <row r="315" ht="17" customHeight="1">
      <c r="A315" s="9" t="inlineStr">
        <is>
          <t>★ pH 스트립 읽는 법:</t>
        </is>
      </c>
    </row>
    <row r="316" ht="32" customHeight="1">
      <c r="A316" s="9" t="inlineStr">
        <is>
          <t>– 스트립을 액에 1초 담갔다 빼고, 10~15초 뒤(설명서 시간) 색이 멈췄을 때 '자연광'에서 통에 인쇄된 색표와 맞춘다(형광등 아래는 색이 왜곡된다).</t>
        </is>
      </c>
    </row>
    <row r="317" ht="32" customHeight="1">
      <c r="A317" s="9" t="inlineStr">
        <is>
          <t>– 색표 두 칸 사이로 보이면 중간값으로 읽는다(예: 5와 5.5 사이면 ≈5.2). 0.2~0.5 눈금의 정밀 스트립을 권장.</t>
        </is>
      </c>
    </row>
    <row r="318" ht="17" customHeight="1">
      <c r="A318" s="9" t="inlineStr">
        <is>
          <t>– 크림·젤처럼 되직해 색이 안 보이면 정제수와 1:1로 풀어서 잰다(묽혀도 pH는 거의 그대로).</t>
        </is>
      </c>
    </row>
    <row r="319" ht="17" customHeight="1">
      <c r="A319" s="9" t="inlineStr">
        <is>
          <t>– 색이 금세 바래니 빼서 오래 두지 말고 바로 판독. 젖은 손·금속이 스트립에 닿지 않게.</t>
        </is>
      </c>
    </row>
    <row r="320" ht="17" customHeight="1">
      <c r="A320" s="9" t="inlineStr">
        <is>
          <t>– 목표 5.0~5.5. 더 정확히는 pH 미터(보정액으로 교정 후 사용). 스트립은 ±0.3 오차가 정상이다.</t>
        </is>
      </c>
    </row>
    <row r="321" ht="32" customHeight="1">
      <c r="A321" s="9" t="inlineStr">
        <is>
          <t>★ 흔한 실수: 두 상 온도 안 맞춤(분리) / 자석바 안 빼고 호모(충돌) / 호모 과다(기포·점도↓) / 식기 전 C 투입(열 파괴).</t>
        </is>
      </c>
    </row>
  </sheetData>
  <mergeCells count="211">
    <mergeCell ref="A84:F84"/>
    <mergeCell ref="A75:F75"/>
    <mergeCell ref="A133:F133"/>
    <mergeCell ref="A317:F317"/>
    <mergeCell ref="A198:F198"/>
    <mergeCell ref="A238:F238"/>
    <mergeCell ref="A50:F50"/>
    <mergeCell ref="A3:F3"/>
    <mergeCell ref="A55:F55"/>
    <mergeCell ref="A86:F86"/>
    <mergeCell ref="A239:F239"/>
    <mergeCell ref="A301:F301"/>
    <mergeCell ref="A95:F95"/>
    <mergeCell ref="A47:F47"/>
    <mergeCell ref="A160:F160"/>
    <mergeCell ref="A175:F175"/>
    <mergeCell ref="A5:F5"/>
    <mergeCell ref="A150:F150"/>
    <mergeCell ref="A32:F32"/>
    <mergeCell ref="A263:F263"/>
    <mergeCell ref="A144:F144"/>
    <mergeCell ref="A303:F303"/>
    <mergeCell ref="A321:F321"/>
    <mergeCell ref="A97:F97"/>
    <mergeCell ref="A318:F318"/>
    <mergeCell ref="A29:F29"/>
    <mergeCell ref="A134:F134"/>
    <mergeCell ref="A200:F200"/>
    <mergeCell ref="A81:F81"/>
    <mergeCell ref="A38:F38"/>
    <mergeCell ref="A152:F152"/>
    <mergeCell ref="A265:F265"/>
    <mergeCell ref="A161:F161"/>
    <mergeCell ref="A44:F44"/>
    <mergeCell ref="A249:F249"/>
    <mergeCell ref="A320:F320"/>
    <mergeCell ref="A31:F31"/>
    <mergeCell ref="A202:F202"/>
    <mergeCell ref="A258:F258"/>
    <mergeCell ref="A40:F40"/>
    <mergeCell ref="A257:F257"/>
    <mergeCell ref="A51:F51"/>
    <mergeCell ref="A266:F266"/>
    <mergeCell ref="A82:F82"/>
    <mergeCell ref="A260:F260"/>
    <mergeCell ref="A241:F241"/>
    <mergeCell ref="A250:F250"/>
    <mergeCell ref="A315:F315"/>
    <mergeCell ref="A124:F124"/>
    <mergeCell ref="A237:F237"/>
    <mergeCell ref="A7:F7"/>
    <mergeCell ref="A41:F41"/>
    <mergeCell ref="A172:F172"/>
    <mergeCell ref="A212:F212"/>
    <mergeCell ref="A243:F243"/>
    <mergeCell ref="A99:F99"/>
    <mergeCell ref="A252:F252"/>
    <mergeCell ref="A305:F305"/>
    <mergeCell ref="A27:F27"/>
    <mergeCell ref="A236:F236"/>
    <mergeCell ref="A149:F149"/>
    <mergeCell ref="A267:F267"/>
    <mergeCell ref="A163:F163"/>
    <mergeCell ref="A101:F101"/>
    <mergeCell ref="A294:F294"/>
    <mergeCell ref="A306:F306"/>
    <mergeCell ref="A195:F195"/>
    <mergeCell ref="A33:F33"/>
    <mergeCell ref="A204:F204"/>
    <mergeCell ref="A85:F85"/>
    <mergeCell ref="A42:F42"/>
    <mergeCell ref="A213:F213"/>
    <mergeCell ref="A151:F151"/>
    <mergeCell ref="A269:F269"/>
    <mergeCell ref="A126:F126"/>
    <mergeCell ref="A141:F141"/>
    <mergeCell ref="A254:F254"/>
    <mergeCell ref="A259:F259"/>
    <mergeCell ref="A135:F135"/>
    <mergeCell ref="A311:F311"/>
    <mergeCell ref="A35:F35"/>
    <mergeCell ref="A206:F206"/>
    <mergeCell ref="A262:F262"/>
    <mergeCell ref="A240:F240"/>
    <mergeCell ref="A122:F122"/>
    <mergeCell ref="A125:F125"/>
    <mergeCell ref="A190:F190"/>
    <mergeCell ref="A28:F28"/>
    <mergeCell ref="A199:F199"/>
    <mergeCell ref="A9:F9"/>
    <mergeCell ref="A127:F127"/>
    <mergeCell ref="A167:F167"/>
    <mergeCell ref="A48:F48"/>
    <mergeCell ref="A176:F176"/>
    <mergeCell ref="A30:F30"/>
    <mergeCell ref="A314:F314"/>
    <mergeCell ref="A319:F319"/>
    <mergeCell ref="A142:F142"/>
    <mergeCell ref="A182:F182"/>
    <mergeCell ref="A304:F304"/>
    <mergeCell ref="A191:F191"/>
    <mergeCell ref="A169:F169"/>
    <mergeCell ref="A296:F296"/>
    <mergeCell ref="A178:F178"/>
    <mergeCell ref="A79:F79"/>
    <mergeCell ref="A88:F88"/>
    <mergeCell ref="A153:F153"/>
    <mergeCell ref="A162:F162"/>
    <mergeCell ref="A54:F54"/>
    <mergeCell ref="A137:F137"/>
    <mergeCell ref="A46:F46"/>
    <mergeCell ref="A90:F90"/>
    <mergeCell ref="A177:F177"/>
    <mergeCell ref="A208:F208"/>
    <mergeCell ref="A268:F268"/>
    <mergeCell ref="A164:F164"/>
    <mergeCell ref="A136:F136"/>
    <mergeCell ref="A105:F105"/>
    <mergeCell ref="A56:F56"/>
    <mergeCell ref="A26:F26"/>
    <mergeCell ref="A139:F139"/>
    <mergeCell ref="A210:F210"/>
    <mergeCell ref="A272:F272"/>
    <mergeCell ref="A179:F179"/>
    <mergeCell ref="A129:F129"/>
    <mergeCell ref="A242:F242"/>
    <mergeCell ref="A313:F313"/>
    <mergeCell ref="A251:F251"/>
    <mergeCell ref="A307:F307"/>
    <mergeCell ref="A76:F76"/>
    <mergeCell ref="A203:F203"/>
    <mergeCell ref="A181:F181"/>
    <mergeCell ref="A309:F309"/>
    <mergeCell ref="A8:F8"/>
    <mergeCell ref="A131:F131"/>
    <mergeCell ref="A244:F244"/>
    <mergeCell ref="A100:F100"/>
    <mergeCell ref="A140:F140"/>
    <mergeCell ref="A53:F53"/>
    <mergeCell ref="A171:F171"/>
    <mergeCell ref="A165:F165"/>
    <mergeCell ref="A180:F180"/>
    <mergeCell ref="A253:F253"/>
    <mergeCell ref="A299:F299"/>
    <mergeCell ref="A10:F10"/>
    <mergeCell ref="A93:F93"/>
    <mergeCell ref="A308:F308"/>
    <mergeCell ref="A102:F102"/>
    <mergeCell ref="A173:F173"/>
    <mergeCell ref="A295:F295"/>
    <mergeCell ref="A34:F34"/>
    <mergeCell ref="A83:F83"/>
    <mergeCell ref="A143:F143"/>
    <mergeCell ref="A245:F245"/>
    <mergeCell ref="A92:F92"/>
    <mergeCell ref="A270:F270"/>
    <mergeCell ref="A39:F39"/>
    <mergeCell ref="A310:F310"/>
    <mergeCell ref="A166:F166"/>
    <mergeCell ref="A36:F36"/>
    <mergeCell ref="A207:F207"/>
    <mergeCell ref="A300:F300"/>
    <mergeCell ref="A1:F1"/>
    <mergeCell ref="A45:F45"/>
    <mergeCell ref="A94:F94"/>
    <mergeCell ref="A103:F103"/>
    <mergeCell ref="A168:F168"/>
    <mergeCell ref="A78:F78"/>
    <mergeCell ref="A256:F256"/>
    <mergeCell ref="A271:F271"/>
    <mergeCell ref="A87:F87"/>
    <mergeCell ref="A316:F316"/>
    <mergeCell ref="A246:F246"/>
    <mergeCell ref="A128:F128"/>
    <mergeCell ref="A193:F193"/>
    <mergeCell ref="A255:F255"/>
    <mergeCell ref="A80:F80"/>
    <mergeCell ref="A37:F37"/>
    <mergeCell ref="A89:F89"/>
    <mergeCell ref="A192:F192"/>
    <mergeCell ref="A248:F248"/>
    <mergeCell ref="A104:F104"/>
    <mergeCell ref="A297:F297"/>
    <mergeCell ref="A57:F57"/>
    <mergeCell ref="A302:F302"/>
    <mergeCell ref="A247:F247"/>
    <mergeCell ref="A298:F298"/>
    <mergeCell ref="A312:F312"/>
    <mergeCell ref="A194:F194"/>
    <mergeCell ref="A106:F106"/>
    <mergeCell ref="A4:F4"/>
    <mergeCell ref="A96:F96"/>
    <mergeCell ref="A91:F91"/>
    <mergeCell ref="A147:F147"/>
    <mergeCell ref="A209:F209"/>
    <mergeCell ref="A43:F43"/>
    <mergeCell ref="A170:F170"/>
    <mergeCell ref="A52:F52"/>
    <mergeCell ref="A211:F211"/>
    <mergeCell ref="A130:F130"/>
    <mergeCell ref="A77:F77"/>
    <mergeCell ref="A201:F201"/>
    <mergeCell ref="A148:F148"/>
    <mergeCell ref="A261:F261"/>
    <mergeCell ref="A123:F123"/>
    <mergeCell ref="A138:F138"/>
    <mergeCell ref="A132:F132"/>
    <mergeCell ref="A197:F197"/>
    <mergeCell ref="A146:F146"/>
    <mergeCell ref="A6:F6"/>
    <mergeCell ref="A196:F19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4" customWidth="1" min="2" max="2"/>
    <col width="22" customWidth="1" min="3" max="3"/>
    <col width="38" customWidth="1" min="4" max="4"/>
    <col width="20" customWidth="1" min="5" max="5"/>
    <col width="28" customWidth="1" min="6" max="6"/>
  </cols>
  <sheetData>
    <row r="1" ht="30" customHeight="1">
      <c r="A1" s="1" t="inlineStr">
        <is>
          <t>트러블슈팅 — 이슈가 나면 어디를·뭘 바꾸나</t>
        </is>
      </c>
    </row>
    <row r="2" ht="44" customHeight="1">
      <c r="A2" s="21" t="inlineStr">
        <is>
          <t>개발일지에 적은 '사용감·이슈'가 여기 '증상'과 맞는 걸 찾아 '조정'대로 한 축만 바꾼다 → 그 조정을 개발일지 '다음 아이디어'에 적고 다시 만든다.   ┃ '관련 역할'은 원료 시트의 '역할' 값과 같다 — 원료 시트에서 그 역할로 필터하면 바꿀 후보 원료가 한눈에. ┃ %p=퍼센트포인트(%숫자를 그만큼↑/↓). ★한 번에 하나만.</t>
        </is>
      </c>
    </row>
    <row r="3">
      <c r="A3" s="10" t="inlineStr">
        <is>
          <t>유형</t>
        </is>
      </c>
      <c r="B3" s="10" t="inlineStr">
        <is>
          <t>증상(이슈)</t>
        </is>
      </c>
      <c r="C3" s="10" t="inlineStr">
        <is>
          <t>원인</t>
        </is>
      </c>
      <c r="D3" s="10" t="inlineStr">
        <is>
          <t>조정 — 한 번에 하나만</t>
        </is>
      </c>
      <c r="E3" s="10" t="inlineStr">
        <is>
          <t>관련 역할</t>
        </is>
      </c>
      <c r="F3" s="10" t="inlineStr">
        <is>
          <t>왜</t>
        </is>
      </c>
    </row>
    <row r="4">
      <c r="A4" s="14" t="inlineStr">
        <is>
          <t>유화안정</t>
        </is>
      </c>
      <c r="B4" s="12" t="inlineStr">
        <is>
          <t>층분리 — 물·기름이 갈라짐</t>
        </is>
      </c>
      <c r="C4" s="12" t="inlineStr">
        <is>
          <t>두 상 온도 안 맞음 / 유화 부족 / 유화제 부족</t>
        </is>
      </c>
      <c r="D4" s="12" t="inlineStr">
        <is>
          <t>①두 상 70~75℃ ±5℃로 다시 맞춰 유화 ②호모(HZ-400) 더 오래·날 충분히 잠기게 ③그래도면 유화제(몬타노브68) 0.5%p↑</t>
        </is>
      </c>
      <c r="E4" s="12" t="inlineStr">
        <is>
          <t>유화제</t>
        </is>
      </c>
      <c r="F4" s="12" t="inlineStr">
        <is>
          <t>유화는 온도·전단(호모)·유화제 세 박자. 하나씩 점검.</t>
        </is>
      </c>
    </row>
    <row r="5">
      <c r="A5" s="14" t="inlineStr">
        <is>
          <t>유화안정</t>
        </is>
      </c>
      <c r="B5" s="12" t="inlineStr">
        <is>
          <t>시간 지나 윗면 기름뜸(오일링)·크리밍</t>
        </is>
      </c>
      <c r="C5" s="12" t="inlineStr">
        <is>
          <t>유화 약함 / 점도 낮아 기름방울이 뜸</t>
        </is>
      </c>
      <c r="D5" s="12" t="inlineStr">
        <is>
          <t>점증제(잔탄검) 0.1%p↑ 먼저. 그래도면 유화제 소폭↑</t>
        </is>
      </c>
      <c r="E5" s="12" t="inlineStr">
        <is>
          <t>점증제</t>
        </is>
      </c>
      <c r="F5" s="12" t="inlineStr">
        <is>
          <t>점도가 높으면 기름방울이 떠오르지 못한다.</t>
        </is>
      </c>
    </row>
    <row r="6">
      <c r="A6" s="14" t="inlineStr">
        <is>
          <t>텍스처</t>
        </is>
      </c>
      <c r="B6" s="12" t="inlineStr">
        <is>
          <t>너무 묽다</t>
        </is>
      </c>
      <c r="C6" s="12" t="inlineStr">
        <is>
          <t>점증·유상 부족</t>
        </is>
      </c>
      <c r="D6" s="12" t="inlineStr">
        <is>
          <t>잔탄검 0.1%p↑ 또는 세틸알코올 0.5%p↑ (둘 중 하나만)</t>
        </is>
      </c>
      <c r="E6" s="12" t="inlineStr">
        <is>
          <t>점증제 / 유상·에몰리언트</t>
        </is>
      </c>
      <c r="F6" s="12" t="inlineStr">
        <is>
          <t>점증제·지방알코올이 '되기'를 만든다.</t>
        </is>
      </c>
    </row>
    <row r="7">
      <c r="A7" s="14" t="inlineStr">
        <is>
          <t>텍스처</t>
        </is>
      </c>
      <c r="B7" s="12" t="inlineStr">
        <is>
          <t>너무 되다·뻑뻑</t>
        </is>
      </c>
      <c r="C7" s="12" t="inlineStr">
        <is>
          <t>점증·유상 과다</t>
        </is>
      </c>
      <c r="D7" s="12" t="inlineStr">
        <is>
          <t>잔탄검 또는 세틸알코올 0.1~0.5%p↓, 줄인 만큼 정제수↑</t>
        </is>
      </c>
      <c r="E7" s="12" t="inlineStr">
        <is>
          <t>점증제 / 유상·에몰리언트</t>
        </is>
      </c>
      <c r="F7" s="12" t="inlineStr">
        <is>
          <t>되기를 만든 걸 반대로 줄인다.</t>
        </is>
      </c>
    </row>
    <row r="8">
      <c r="A8" s="14" t="inlineStr">
        <is>
          <t>텍스처</t>
        </is>
      </c>
      <c r="B8" s="12" t="inlineStr">
        <is>
          <t>뭉침(피시아이, 쌀알 덩어리)</t>
        </is>
      </c>
      <c r="C8" s="12" t="inlineStr">
        <is>
          <t>검(잔탄)을 물에 바로 넣음</t>
        </is>
      </c>
      <c r="D8" s="12" t="inlineStr">
        <is>
          <t>잔탄검을 글리세린에 먼저 개어(선분산) 넣기</t>
        </is>
      </c>
      <c r="E8" s="12" t="inlineStr">
        <is>
          <t>점증제</t>
        </is>
      </c>
      <c r="F8" s="12" t="inlineStr">
        <is>
          <t>검은 물 만나기 전에 분산시켜야 안 뭉친다.</t>
        </is>
      </c>
    </row>
    <row r="9">
      <c r="A9" s="14" t="inlineStr">
        <is>
          <t>피부감</t>
        </is>
      </c>
      <c r="B9" s="12" t="inlineStr">
        <is>
          <t>끈적인다</t>
        </is>
      </c>
      <c r="C9" s="12" t="inlineStr">
        <is>
          <t>글리세린(폴리올) 과다</t>
        </is>
      </c>
      <c r="D9" s="12" t="inlineStr">
        <is>
          <t>글리세린 1%p↓ + 그만큼 베타인/프로판디올로 대체  ← (문서의 그 예시!)</t>
        </is>
      </c>
      <c r="E9" s="12" t="inlineStr">
        <is>
          <t>보습</t>
        </is>
      </c>
      <c r="F9" s="12" t="inlineStr">
        <is>
          <t>같은 보습이라도 폴리올 종류를 바꾸면 끈적임↓.</t>
        </is>
      </c>
    </row>
    <row r="10">
      <c r="A10" s="14" t="inlineStr">
        <is>
          <t>피부감</t>
        </is>
      </c>
      <c r="B10" s="12" t="inlineStr">
        <is>
          <t>무겁다·번들거림(지성엔 특히)</t>
        </is>
      </c>
      <c r="C10" s="12" t="inlineStr">
        <is>
          <t>오일·유화제 과다</t>
        </is>
      </c>
      <c r="D10" s="12" t="inlineStr">
        <is>
          <t>오일(스쿠알란/MCT) 1~2%p↓, 산뜻함 필요하면 디메치콘 소폭↑</t>
        </is>
      </c>
      <c r="E10" s="12" t="inlineStr">
        <is>
          <t>유상·에몰리언트 / 감촉·실리콘</t>
        </is>
      </c>
      <c r="F10" s="12" t="inlineStr">
        <is>
          <t>유분을 줄이고 실리콘으로 매끈함만 유지.</t>
        </is>
      </c>
    </row>
    <row r="11">
      <c r="A11" s="14" t="inlineStr">
        <is>
          <t>피부감</t>
        </is>
      </c>
      <c r="B11" s="12" t="inlineStr">
        <is>
          <t>밀린다(하얗게 말림·피딩)</t>
        </is>
      </c>
      <c r="C11" s="12" t="inlineStr">
        <is>
          <t>점증제·고분자 겹침 / 도포량 많음</t>
        </is>
      </c>
      <c r="D11" s="12" t="inlineStr">
        <is>
          <t>잔탄검 소폭↓ 또는 한 번에 바르는 양 줄이기</t>
        </is>
      </c>
      <c r="E11" s="12" t="inlineStr">
        <is>
          <t>점증제</t>
        </is>
      </c>
      <c r="F11" s="12" t="inlineStr">
        <is>
          <t>고분자가 겹치면 비비면서 밀려 나온다.</t>
        </is>
      </c>
    </row>
    <row r="12">
      <c r="A12" s="14" t="inlineStr">
        <is>
          <t>피부감</t>
        </is>
      </c>
      <c r="B12" s="12" t="inlineStr">
        <is>
          <t>자극·따가움</t>
        </is>
      </c>
      <c r="C12" s="12" t="inlineStr">
        <is>
          <t>활성 농도 높음 / pH 낮음</t>
        </is>
      </c>
      <c r="D12" s="12" t="inlineStr">
        <is>
          <t>나이아신아마이드 등 활성 %↓(2%부터 시작), pH 5.0~5.5 확인</t>
        </is>
      </c>
      <c r="E12" s="12" t="inlineStr">
        <is>
          <t>활성 / pH조절</t>
        </is>
      </c>
      <c r="F12" s="12" t="inlineStr">
        <is>
          <t>민감 피부는 농도·산도를 낮춰 적응시킨다.</t>
        </is>
      </c>
    </row>
    <row r="13">
      <c r="A13" s="14" t="inlineStr">
        <is>
          <t>pH</t>
        </is>
      </c>
      <c r="B13" s="12" t="inlineStr">
        <is>
          <t>pH 높다(&gt;6)</t>
        </is>
      </c>
      <c r="C13" s="12" t="inlineStr">
        <is>
          <t>산 부족</t>
        </is>
      </c>
      <c r="D13" s="12" t="inlineStr">
        <is>
          <t>구연산 희석액(물:구연산 9:1) 한 방울씩 + 재측정</t>
        </is>
      </c>
      <c r="E13" s="12" t="inlineStr">
        <is>
          <t>pH조절</t>
        </is>
      </c>
      <c r="F13" s="12" t="inlineStr">
        <is>
          <t>피부는 약산성(5.0~5.5)이 편하다.</t>
        </is>
      </c>
    </row>
    <row r="14">
      <c r="A14" s="14" t="inlineStr">
        <is>
          <t>pH</t>
        </is>
      </c>
      <c r="B14" s="12" t="inlineStr">
        <is>
          <t>pH 낮다(&lt;4.5)</t>
        </is>
      </c>
      <c r="C14" s="12" t="inlineStr">
        <is>
          <t>산 과다</t>
        </is>
      </c>
      <c r="D14" s="12" t="inlineStr">
        <is>
          <t>정제수로 약간 희석. 보통 레시피대로면 이 문제는 잘 안 난다</t>
        </is>
      </c>
      <c r="E14" s="12" t="inlineStr">
        <is>
          <t>pH조절 / 용제</t>
        </is>
      </c>
      <c r="F14" s="12" t="inlineStr">
        <is>
          <t>과도한 산은 자극이 된다.</t>
        </is>
      </c>
    </row>
    <row r="15">
      <c r="A15" s="14" t="inlineStr">
        <is>
          <t>방부·오염</t>
        </is>
      </c>
      <c r="B15" s="12" t="inlineStr">
        <is>
          <t>곰팡이·점액·시큼한 냄새(물 제품)</t>
        </is>
      </c>
      <c r="C15" s="12" t="inlineStr">
        <is>
          <t>방부 부족 / 소독 미흡</t>
        </is>
      </c>
      <c r="D15" s="12" t="inlineStr">
        <is>
          <t>방부(페녹시에탄올+헥산다이올) 들어갔는지 확인, 도구 소독 철저, 1개월 내 사용</t>
        </is>
      </c>
      <c r="E15" s="12" t="inlineStr">
        <is>
          <t>방부제</t>
        </is>
      </c>
      <c r="F15" s="12" t="inlineStr">
        <is>
          <t>물+영양(글리세린·추출물)=미생물 배지.</t>
        </is>
      </c>
    </row>
    <row r="16">
      <c r="A16" s="14" t="inlineStr">
        <is>
          <t>산패</t>
        </is>
      </c>
      <c r="B16" s="12" t="inlineStr">
        <is>
          <t>쩐내 — 기름 냄새가 변함</t>
        </is>
      </c>
      <c r="C16" s="12" t="inlineStr">
        <is>
          <t>오일 산화</t>
        </is>
      </c>
      <c r="D16" s="12" t="inlineStr">
        <is>
          <t>토코페롤 0.5~1% 추가, 차광·서늘 보관, 신선한 오일 사용</t>
        </is>
      </c>
      <c r="E16" s="12" t="inlineStr">
        <is>
          <t>항산화제</t>
        </is>
      </c>
      <c r="F16" s="12" t="inlineStr">
        <is>
          <t>항산화제가 산패를 늦춘다.</t>
        </is>
      </c>
    </row>
    <row r="17">
      <c r="A17" s="14" t="inlineStr">
        <is>
          <t>향·색</t>
        </is>
      </c>
      <c r="B17" s="12" t="inlineStr">
        <is>
          <t>배치마다 냄새·색이 다름</t>
        </is>
      </c>
      <c r="C17" s="12" t="inlineStr">
        <is>
          <t>도구에 향·색 이염 / 원료 로트 차이</t>
        </is>
      </c>
      <c r="D17" s="12" t="inlineStr">
        <is>
          <t>향·색 도구는 전용으로, 알코올 선세척, 같은 로트 사용</t>
        </is>
      </c>
      <c r="E17" s="12" t="inlineStr">
        <is>
          <t>(공정·도구)</t>
        </is>
      </c>
      <c r="F17" s="12" t="inlineStr">
        <is>
          <t>숨은 변수를 없애야 재현된다.</t>
        </is>
      </c>
    </row>
    <row r="18">
      <c r="A18" s="14" t="inlineStr">
        <is>
          <t>기포</t>
        </is>
      </c>
      <c r="B18" s="12" t="inlineStr">
        <is>
          <t>거품·기포가 많다</t>
        </is>
      </c>
      <c r="C18" s="12" t="inlineStr">
        <is>
          <t>과교반·공기 유입</t>
        </is>
      </c>
      <c r="D18" s="12" t="inlineStr">
        <is>
          <t>저속으로 바꾸고, 잔열에 30분~1시간 정치</t>
        </is>
      </c>
      <c r="E18" s="12" t="inlineStr">
        <is>
          <t>(공정)</t>
        </is>
      </c>
      <c r="F18" s="12" t="inlineStr">
        <is>
          <t>소용돌이가 깊으면 공기를 말아 넣는다.</t>
        </is>
      </c>
    </row>
  </sheetData>
  <mergeCells count="2">
    <mergeCell ref="A2:F2"/>
    <mergeCell ref="A1:F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9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28" customWidth="1" min="2" max="2"/>
    <col width="5" customWidth="1" min="3" max="3"/>
    <col width="14" customWidth="1" min="4" max="4"/>
    <col width="44" customWidth="1" min="5" max="5"/>
    <col width="7" customWidth="1" min="6" max="6"/>
    <col width="7" customWidth="1" min="7" max="7"/>
    <col width="10" customWidth="1" min="8" max="8"/>
    <col width="9" customWidth="1" min="9" max="9"/>
    <col width="9" customWidth="1" min="10" max="10"/>
    <col width="11" customWidth="1" min="11" max="11"/>
    <col width="11" customWidth="1" min="12" max="12"/>
    <col width="30" customWidth="1" min="13" max="13"/>
  </cols>
  <sheetData>
    <row r="1" ht="30" customHeight="1">
      <c r="A1" s="1" t="inlineStr">
        <is>
          <t>원료 재고 — 현재고 = 최초보유 + 구매 + 조정 − 제조사용 (자동)</t>
        </is>
      </c>
    </row>
    <row r="2" ht="44" customHeight="1">
      <c r="A2" s="21" t="inlineStr">
        <is>
          <t>지금 가진 원료와 '남은 양(현재고)'을 보는 재고판. 현재고는 자동 계산이라 직접 고치지 않는다 — 사면 '입출고', 쓰면 '개발일지'에 적으면 여기 숫자가 따라 움직인다.   ┃ 역할=고정 11종(필터용) — 트러블슈팅 '관련 역할'과 같은 값이라, 이슈의 그 역할로 여기서 필터하면 바꿀 원료가 보인다. ┃ 상=섞는 단계(A수상·B유상·C냉각·pH) · 세이프=히어로(말라세지아) 적합 O/X · 현재고g=최초보유+구매+조정−제조사용(음수=빨강, 사야 함)</t>
        </is>
      </c>
    </row>
    <row r="3">
      <c r="A3" s="10" t="inlineStr">
        <is>
          <t>원료</t>
        </is>
      </c>
      <c r="B3" s="10" t="inlineStr">
        <is>
          <t>INCI</t>
        </is>
      </c>
      <c r="C3" s="10" t="inlineStr">
        <is>
          <t>상</t>
        </is>
      </c>
      <c r="D3" s="10" t="inlineStr">
        <is>
          <t>역할</t>
        </is>
      </c>
      <c r="E3" s="10" t="inlineStr">
        <is>
          <t>역할 설명</t>
        </is>
      </c>
      <c r="F3" s="10" t="inlineStr">
        <is>
          <t>세이프</t>
        </is>
      </c>
      <c r="G3" s="10" t="inlineStr">
        <is>
          <t>보관</t>
        </is>
      </c>
      <c r="H3" s="10" t="inlineStr">
        <is>
          <t>최초보유g</t>
        </is>
      </c>
      <c r="I3" s="10" t="inlineStr">
        <is>
          <t>구매g</t>
        </is>
      </c>
      <c r="J3" s="10" t="inlineStr">
        <is>
          <t>조정g</t>
        </is>
      </c>
      <c r="K3" s="10" t="inlineStr">
        <is>
          <t>제조사용g</t>
        </is>
      </c>
      <c r="L3" s="10" t="inlineStr">
        <is>
          <t>현재고g</t>
        </is>
      </c>
      <c r="M3" s="10" t="inlineStr">
        <is>
          <t>비고</t>
        </is>
      </c>
    </row>
    <row r="4">
      <c r="A4" s="11" t="inlineStr">
        <is>
          <t>글리세린</t>
        </is>
      </c>
      <c r="B4" s="12" t="inlineStr">
        <is>
          <t>Glycerin</t>
        </is>
      </c>
      <c r="C4" s="13" t="inlineStr">
        <is>
          <t>A</t>
        </is>
      </c>
      <c r="D4" s="11" t="inlineStr">
        <is>
          <t>보습</t>
        </is>
      </c>
      <c r="E4" s="12" t="inlineStr">
        <is>
          <t>수분을 끌어당기거나 붙잡아 촉촉하게(글리세린·베타인·프로판디올·히알루론산). 너무 끈적하면 종류를 바꾸거나 %↓.</t>
        </is>
      </c>
      <c r="F4" s="14" t="inlineStr">
        <is>
          <t>O</t>
        </is>
      </c>
      <c r="G4" s="14" t="inlineStr">
        <is>
          <t>서늘</t>
        </is>
      </c>
      <c r="H4" s="14" t="n">
        <v>500</v>
      </c>
      <c r="I4" s="14">
        <f>SUMIFS(입출고표[수량g],입출고표[원료],[@원료],입출고표[구분],"구매")</f>
        <v/>
      </c>
      <c r="J4" s="14">
        <f>SUMIFS(입출고표[수량g],입출고표[원료],[@원료],입출고표[구분],"조정")</f>
        <v/>
      </c>
      <c r="K4" s="14">
        <f>SUMIF(처방표[원료],[@원료],처방표[사용g])</f>
        <v/>
      </c>
      <c r="L4" s="14">
        <f>[@최초보유g]+[@구매g]+[@조정g]-[@제조사용g]</f>
        <v/>
      </c>
      <c r="M4" s="12" t="inlineStr">
        <is>
          <t>허브누리 식물성글리세린 250g×2. 셀러. 100g당 5g</t>
        </is>
      </c>
    </row>
    <row r="5">
      <c r="A5" s="11" t="inlineStr">
        <is>
          <t>나이아신아마이드</t>
        </is>
      </c>
      <c r="B5" s="12" t="inlineStr">
        <is>
          <t>Niacinamide</t>
        </is>
      </c>
      <c r="C5" s="13" t="inlineStr">
        <is>
          <t>A</t>
        </is>
      </c>
      <c r="D5" s="11" t="inlineStr">
        <is>
          <t>활성</t>
        </is>
      </c>
      <c r="E5" s="12" t="inlineStr">
        <is>
          <t>효능을 내는 성분(피지·진정·톤 등). 따갑/자극 나면 고농도 활성(나이아신아마이드 등)부터 %↓, 민감하면 2%부터 올려가며 테스트.</t>
        </is>
      </c>
      <c r="F5" s="14" t="inlineStr">
        <is>
          <t>O</t>
        </is>
      </c>
      <c r="G5" s="14" t="inlineStr">
        <is>
          <t>방습</t>
        </is>
      </c>
      <c r="H5" s="14" t="n">
        <v>100</v>
      </c>
      <c r="I5" s="14">
        <f>SUMIFS(입출고표[수량g],입출고표[원료],[@원료],입출고표[구분],"구매")</f>
        <v/>
      </c>
      <c r="J5" s="14">
        <f>SUMIFS(입출고표[수량g],입출고표[원료],[@원료],입출고표[구분],"조정")</f>
        <v/>
      </c>
      <c r="K5" s="14">
        <f>SUMIF(처방표[원료],[@원료],처방표[사용g])</f>
        <v/>
      </c>
      <c r="L5" s="14">
        <f>[@최초보유g]+[@구매g]+[@조정g]-[@제조사용g]</f>
        <v/>
      </c>
      <c r="M5" s="12" t="inlineStr">
        <is>
          <t>허브누리 50g×2(분말). 방습고. 100g당 2g. CoA 확인</t>
        </is>
      </c>
    </row>
    <row r="6">
      <c r="A6" s="11" t="inlineStr">
        <is>
          <t>다중 히알루론산</t>
        </is>
      </c>
      <c r="B6" s="12" t="inlineStr">
        <is>
          <t>Hyaluronic Acids</t>
        </is>
      </c>
      <c r="C6" s="13" t="inlineStr">
        <is>
          <t>A</t>
        </is>
      </c>
      <c r="D6" s="11" t="inlineStr">
        <is>
          <t>보습</t>
        </is>
      </c>
      <c r="E6" s="12" t="inlineStr">
        <is>
          <t>수분을 끌어당기거나 붙잡아 촉촉하게(글리세린·베타인·프로판디올·히알루론산). 너무 끈적하면 종류를 바꾸거나 %↓.</t>
        </is>
      </c>
      <c r="F6" s="14" t="inlineStr">
        <is>
          <t>O</t>
        </is>
      </c>
      <c r="G6" s="14" t="inlineStr">
        <is>
          <t>방습</t>
        </is>
      </c>
      <c r="H6" s="14" t="n">
        <v>20</v>
      </c>
      <c r="I6" s="14">
        <f>SUMIFS(입출고표[수량g],입출고표[원료],[@원료],입출고표[구분],"구매")</f>
        <v/>
      </c>
      <c r="J6" s="14">
        <f>SUMIFS(입출고표[수량g],입출고표[원료],[@원료],입출고표[구분],"조정")</f>
        <v/>
      </c>
      <c r="K6" s="14">
        <f>SUMIF(처방표[원료],[@원료],처방표[사용g])</f>
        <v/>
      </c>
      <c r="L6" s="14">
        <f>[@최초보유g]+[@구매g]+[@조정g]-[@제조사용g]</f>
        <v/>
      </c>
      <c r="M6" s="12" t="inlineStr">
        <is>
          <t>천연사랑 '히알루론산 저분자 100% 분말' 20g. ★분말(하루 불려 사용). 100g당 1g(≈20배치). CoA 확인</t>
        </is>
      </c>
    </row>
    <row r="7">
      <c r="A7" s="11" t="inlineStr">
        <is>
          <t>베타글루칸</t>
        </is>
      </c>
      <c r="B7" s="12" t="inlineStr">
        <is>
          <t>Beta-Glucan</t>
        </is>
      </c>
      <c r="C7" s="13" t="inlineStr">
        <is>
          <t>A</t>
        </is>
      </c>
      <c r="D7" s="11" t="inlineStr">
        <is>
          <t>활성</t>
        </is>
      </c>
      <c r="E7" s="12" t="inlineStr">
        <is>
          <t>효능을 내는 성분(피지·진정·톤 등). 따갑/자극 나면 고농도 활성(나이아신아마이드 등)부터 %↓, 민감하면 2%부터 올려가며 테스트.</t>
        </is>
      </c>
      <c r="F7" s="14" t="inlineStr">
        <is>
          <t>O</t>
        </is>
      </c>
      <c r="G7" s="14" t="inlineStr">
        <is>
          <t>냉장</t>
        </is>
      </c>
      <c r="H7" s="14" t="n">
        <v>50</v>
      </c>
      <c r="I7" s="14">
        <f>SUMIFS(입출고표[수량g],입출고표[원료],[@원료],입출고표[구분],"구매")</f>
        <v/>
      </c>
      <c r="J7" s="14">
        <f>SUMIFS(입출고표[수량g],입출고표[원료],[@원료],입출고표[구분],"조정")</f>
        <v/>
      </c>
      <c r="K7" s="14">
        <f>SUMIF(처방표[원료],[@원료],처방표[사용g])</f>
        <v/>
      </c>
      <c r="L7" s="14">
        <f>[@최초보유g]+[@구매g]+[@조정g]-[@제조사용g]</f>
        <v/>
      </c>
      <c r="M7" s="12" t="inlineStr">
        <is>
          <t>천연사랑 50ml(액상). ★냉장 보관(개봉 후)·차광, 동결 금지(다당류라 미생물·변질 취약). 100g당 1g(≈50배치). CoA 확인</t>
        </is>
      </c>
    </row>
    <row r="8">
      <c r="A8" s="11" t="inlineStr">
        <is>
          <t>베타인</t>
        </is>
      </c>
      <c r="B8" s="12" t="inlineStr">
        <is>
          <t>Betaine</t>
        </is>
      </c>
      <c r="C8" s="13" t="inlineStr">
        <is>
          <t>A</t>
        </is>
      </c>
      <c r="D8" s="11" t="inlineStr">
        <is>
          <t>보습</t>
        </is>
      </c>
      <c r="E8" s="12" t="inlineStr">
        <is>
          <t>수분을 끌어당기거나 붙잡아 촉촉하게(글리세린·베타인·프로판디올·히알루론산). 너무 끈적하면 종류를 바꾸거나 %↓.</t>
        </is>
      </c>
      <c r="F8" s="14" t="inlineStr">
        <is>
          <t>O</t>
        </is>
      </c>
      <c r="G8" s="14" t="inlineStr">
        <is>
          <t>서늘</t>
        </is>
      </c>
      <c r="H8" s="14" t="n">
        <v>100</v>
      </c>
      <c r="I8" s="14">
        <f>SUMIFS(입출고표[수량g],입출고표[원료],[@원료],입출고표[구분],"구매")</f>
        <v/>
      </c>
      <c r="J8" s="14">
        <f>SUMIFS(입출고표[수량g],입출고표[원료],[@원료],입출고표[구분],"조정")</f>
        <v/>
      </c>
      <c r="K8" s="14">
        <f>SUMIF(처방표[원료],[@원료],처방표[사용g])</f>
        <v/>
      </c>
      <c r="L8" s="14">
        <f>[@최초보유g]+[@구매g]+[@조정g]-[@제조사용g]</f>
        <v/>
      </c>
      <c r="M8" s="12" t="inlineStr">
        <is>
          <t>허브누리 내추럴베타인 50g×2(액상, 전성분에 1,2-헥산디올 포함). 셀러. (v2 미사용)</t>
        </is>
      </c>
    </row>
    <row r="9">
      <c r="A9" s="11" t="inlineStr">
        <is>
          <t>아연피카</t>
        </is>
      </c>
      <c r="B9" s="12" t="inlineStr">
        <is>
          <t>Zinc PCA</t>
        </is>
      </c>
      <c r="C9" s="13" t="inlineStr">
        <is>
          <t>A</t>
        </is>
      </c>
      <c r="D9" s="11" t="inlineStr">
        <is>
          <t>활성</t>
        </is>
      </c>
      <c r="E9" s="12" t="inlineStr">
        <is>
          <t>효능을 내는 성분(피지·진정·톤 등). 따갑/자극 나면 고농도 활성(나이아신아마이드 등)부터 %↓, 민감하면 2%부터 올려가며 테스트.</t>
        </is>
      </c>
      <c r="F9" s="14" t="inlineStr">
        <is>
          <t>O</t>
        </is>
      </c>
      <c r="G9" s="14" t="inlineStr">
        <is>
          <t>방습</t>
        </is>
      </c>
      <c r="H9" s="14" t="n">
        <v>50</v>
      </c>
      <c r="I9" s="14">
        <f>SUMIFS(입출고표[수량g],입출고표[원료],[@원료],입출고표[구분],"구매")</f>
        <v/>
      </c>
      <c r="J9" s="14">
        <f>SUMIFS(입출고표[수량g],입출고표[원료],[@원료],입출고표[구분],"조정")</f>
        <v/>
      </c>
      <c r="K9" s="14">
        <f>SUMIF(처방표[원료],[@원료],처방표[사용g])</f>
        <v/>
      </c>
      <c r="L9" s="14">
        <f>[@최초보유g]+[@구매g]+[@조정g]-[@제조사용g]</f>
        <v/>
      </c>
      <c r="M9" s="12" t="inlineStr">
        <is>
          <t>천연사랑 '징크 PCA' 50g(분말). 100g당 1g(≈50배치). CoA 확인</t>
        </is>
      </c>
    </row>
    <row r="10">
      <c r="A10" s="11" t="inlineStr">
        <is>
          <t>알란토인</t>
        </is>
      </c>
      <c r="B10" s="12" t="inlineStr">
        <is>
          <t>Allantoin</t>
        </is>
      </c>
      <c r="C10" s="13" t="inlineStr">
        <is>
          <t>A</t>
        </is>
      </c>
      <c r="D10" s="11" t="inlineStr">
        <is>
          <t>활성</t>
        </is>
      </c>
      <c r="E10" s="12" t="inlineStr">
        <is>
          <t>효능을 내는 성분(피지·진정·톤 등). 따갑/자극 나면 고농도 활성(나이아신아마이드 등)부터 %↓, 민감하면 2%부터 올려가며 테스트.</t>
        </is>
      </c>
      <c r="F10" s="14" t="inlineStr">
        <is>
          <t>O</t>
        </is>
      </c>
      <c r="G10" s="14" t="inlineStr">
        <is>
          <t>방습</t>
        </is>
      </c>
      <c r="H10" s="14" t="n">
        <v>90</v>
      </c>
      <c r="I10" s="14">
        <f>SUMIFS(입출고표[수량g],입출고표[원료],[@원료],입출고표[구분],"구매")</f>
        <v/>
      </c>
      <c r="J10" s="14">
        <f>SUMIFS(입출고표[수량g],입출고표[원료],[@원료],입출고표[구분],"조정")</f>
        <v/>
      </c>
      <c r="K10" s="14">
        <f>SUMIF(처방표[원료],[@원료],처방표[사용g])</f>
        <v/>
      </c>
      <c r="L10" s="14">
        <f>[@최초보유g]+[@구매g]+[@조정g]-[@제조사용g]</f>
        <v/>
      </c>
      <c r="M10" s="12" t="inlineStr">
        <is>
          <t>허브누리 알란토인분말 30g×3. 방습고. 100g당 0.5g</t>
        </is>
      </c>
    </row>
    <row r="11">
      <c r="A11" s="11" t="inlineStr">
        <is>
          <t>잔탄검</t>
        </is>
      </c>
      <c r="B11" s="12" t="inlineStr">
        <is>
          <t>Xanthan Gum</t>
        </is>
      </c>
      <c r="C11" s="13" t="inlineStr">
        <is>
          <t>A</t>
        </is>
      </c>
      <c r="D11" s="11" t="inlineStr">
        <is>
          <t>점증제</t>
        </is>
      </c>
      <c r="E11" s="12" t="inlineStr">
        <is>
          <t>되기(점도)를 만든다(잔탄검). 묽으면 0.1%p↑, 되면↓. 반드시 글리세린에 선분산 후 물에(뭉침 방지).</t>
        </is>
      </c>
      <c r="F11" s="14" t="inlineStr">
        <is>
          <t>O</t>
        </is>
      </c>
      <c r="G11" s="14" t="inlineStr">
        <is>
          <t>방습</t>
        </is>
      </c>
      <c r="H11" s="14" t="n">
        <v>100</v>
      </c>
      <c r="I11" s="14">
        <f>SUMIFS(입출고표[수량g],입출고표[원료],[@원료],입출고표[구분],"구매")</f>
        <v/>
      </c>
      <c r="J11" s="14">
        <f>SUMIFS(입출고표[수량g],입출고표[원료],[@원료],입출고표[구분],"조정")</f>
        <v/>
      </c>
      <c r="K11" s="14">
        <f>SUMIF(처방표[원료],[@원료],처방표[사용g])</f>
        <v/>
      </c>
      <c r="L11" s="14">
        <f>[@최초보유g]+[@구매g]+[@조정g]-[@제조사용g]</f>
        <v/>
      </c>
      <c r="M11" s="12" t="inlineStr">
        <is>
          <t>허브누리 잔탄검 50g×2(분말). 방습고. 100g당 0.3g(글리세린에 선분산)</t>
        </is>
      </c>
    </row>
    <row r="12">
      <c r="A12" s="11" t="inlineStr">
        <is>
          <t>정제수</t>
        </is>
      </c>
      <c r="B12" s="12" t="inlineStr">
        <is>
          <t>Water</t>
        </is>
      </c>
      <c r="C12" s="13" t="inlineStr">
        <is>
          <t>A</t>
        </is>
      </c>
      <c r="D12" s="11" t="inlineStr">
        <is>
          <t>용제</t>
        </is>
      </c>
      <c r="E12" s="12" t="inlineStr">
        <is>
          <t>제품의 바탕이 되는 물. 전체 양·농도를 맞추는 '잔량(마지막에 100g 채움)'으로 쓴다. 되기엔 직접 관여 안 함.</t>
        </is>
      </c>
      <c r="F12" s="14" t="inlineStr">
        <is>
          <t>O</t>
        </is>
      </c>
      <c r="G12" s="14" t="inlineStr">
        <is>
          <t>서늘</t>
        </is>
      </c>
      <c r="H12" s="14" t="n">
        <v>1000</v>
      </c>
      <c r="I12" s="14">
        <f>SUMIFS(입출고표[수량g],입출고표[원료],[@원료],입출고표[구분],"구매")</f>
        <v/>
      </c>
      <c r="J12" s="14">
        <f>SUMIFS(입출고표[수량g],입출고표[원료],[@원료],입출고표[구분],"조정")</f>
        <v/>
      </c>
      <c r="K12" s="14">
        <f>SUMIF(처방표[원료],[@원료],처방표[사용g])</f>
        <v/>
      </c>
      <c r="L12" s="14">
        <f>[@최초보유g]+[@구매g]+[@조정g]-[@제조사용g]</f>
        <v/>
      </c>
      <c r="M12" s="12" t="inlineStr">
        <is>
          <t>천연사랑 정제수 2병(정확 용량 라벨 확인). 셀러. 100g당 63.5g + 세척·HA불리기·pH희석 공용</t>
        </is>
      </c>
    </row>
    <row r="13">
      <c r="A13" s="11" t="inlineStr">
        <is>
          <t>프로판디올</t>
        </is>
      </c>
      <c r="B13" s="12" t="inlineStr">
        <is>
          <t>Propanediol</t>
        </is>
      </c>
      <c r="C13" s="13" t="inlineStr">
        <is>
          <t>A</t>
        </is>
      </c>
      <c r="D13" s="11" t="inlineStr">
        <is>
          <t>보습</t>
        </is>
      </c>
      <c r="E13" s="12" t="inlineStr">
        <is>
          <t>수분을 끌어당기거나 붙잡아 촉촉하게(글리세린·베타인·프로판디올·히알루론산). 너무 끈적하면 종류를 바꾸거나 %↓.</t>
        </is>
      </c>
      <c r="F13" s="14" t="inlineStr">
        <is>
          <t>O</t>
        </is>
      </c>
      <c r="G13" s="14" t="inlineStr">
        <is>
          <t>서늘</t>
        </is>
      </c>
      <c r="H13" s="14" t="n">
        <v>250</v>
      </c>
      <c r="I13" s="14">
        <f>SUMIFS(입출고표[수량g],입출고표[원료],[@원료],입출고표[구분],"구매")</f>
        <v/>
      </c>
      <c r="J13" s="14">
        <f>SUMIFS(입출고표[수량g],입출고표[원료],[@원료],입출고표[구분],"조정")</f>
        <v/>
      </c>
      <c r="K13" s="14">
        <f>SUMIF(처방표[원료],[@원료],처방표[사용g])</f>
        <v/>
      </c>
      <c r="L13" s="14">
        <f>[@최초보유g]+[@구매g]+[@조정g]-[@제조사용g]</f>
        <v/>
      </c>
      <c r="M13" s="12" t="inlineStr">
        <is>
          <t>허브누리 '에코보습제(프로판디올)' 250g. 셀러. ★v2 '펜틸렌글라이콜' 대체 사용. 100g당 3g</t>
        </is>
      </c>
    </row>
    <row r="14">
      <c r="A14" s="11" t="inlineStr">
        <is>
          <t>MCT오일</t>
        </is>
      </c>
      <c r="B14" s="12" t="inlineStr">
        <is>
          <t>Caprylic/Capric Triglyceride</t>
        </is>
      </c>
      <c r="C14" s="20" t="inlineStr">
        <is>
          <t>B</t>
        </is>
      </c>
      <c r="D14" s="11" t="inlineStr">
        <is>
          <t>유상·에몰리언트</t>
        </is>
      </c>
      <c r="E14" s="12" t="inlineStr">
        <is>
          <t>오일·지방알코올로 발림·영양·바디를 준다(스쿠알란·MCT·세틸알코올). 무겁/번들이면 %↓, 묽으면 세틸↑.</t>
        </is>
      </c>
      <c r="F14" s="14" t="inlineStr">
        <is>
          <t>O</t>
        </is>
      </c>
      <c r="G14" s="14" t="inlineStr">
        <is>
          <t>서늘</t>
        </is>
      </c>
      <c r="H14" s="14" t="n">
        <v>500</v>
      </c>
      <c r="I14" s="14">
        <f>SUMIFS(입출고표[수량g],입출고표[원료],[@원료],입출고표[구분],"구매")</f>
        <v/>
      </c>
      <c r="J14" s="14">
        <f>SUMIFS(입출고표[수량g],입출고표[원료],[@원료],입출고표[구분],"조정")</f>
        <v/>
      </c>
      <c r="K14" s="14">
        <f>SUMIF(처방표[원료],[@원료],처방표[사용g])</f>
        <v/>
      </c>
      <c r="L14" s="14">
        <f>[@최초보유g]+[@구매g]+[@조정g]-[@제조사용g]</f>
        <v/>
      </c>
      <c r="M14" s="12" t="inlineStr">
        <is>
          <t>허브누리 MCT 250g×2. 셀러. 100g당 3g</t>
        </is>
      </c>
    </row>
    <row r="15">
      <c r="A15" s="11" t="inlineStr">
        <is>
          <t>디메치콘</t>
        </is>
      </c>
      <c r="B15" s="12" t="inlineStr">
        <is>
          <t>Dimethicone</t>
        </is>
      </c>
      <c r="C15" s="20" t="inlineStr">
        <is>
          <t>B</t>
        </is>
      </c>
      <c r="D15" s="11" t="inlineStr">
        <is>
          <t>감촉·실리콘</t>
        </is>
      </c>
      <c r="E15" s="12" t="inlineStr">
        <is>
          <t>매끈한 발림과 얇은 보호막(디메치콘). 산뜻함 필요하면 소폭↑, 헹굼성 떨어지면↓.</t>
        </is>
      </c>
      <c r="F15" s="14" t="inlineStr">
        <is>
          <t>O</t>
        </is>
      </c>
      <c r="G15" s="14" t="inlineStr">
        <is>
          <t>서늘</t>
        </is>
      </c>
      <c r="H15" s="14" t="n">
        <v>250</v>
      </c>
      <c r="I15" s="14">
        <f>SUMIFS(입출고표[수량g],입출고표[원료],[@원료],입출고표[구분],"구매")</f>
        <v/>
      </c>
      <c r="J15" s="14">
        <f>SUMIFS(입출고표[수량g],입출고표[원료],[@원료],입출고표[구분],"조정")</f>
        <v/>
      </c>
      <c r="K15" s="14">
        <f>SUMIF(처방표[원료],[@원료],처방표[사용g])</f>
        <v/>
      </c>
      <c r="L15" s="14">
        <f>[@최초보유g]+[@구매g]+[@조정g]-[@제조사용g]</f>
        <v/>
      </c>
      <c r="M15" s="12" t="inlineStr">
        <is>
          <t>GO5109 디메치콘. 셀러. 100g당 3g</t>
        </is>
      </c>
    </row>
    <row r="16">
      <c r="A16" s="11" t="inlineStr">
        <is>
          <t>몬타노브68</t>
        </is>
      </c>
      <c r="B16" s="12" t="inlineStr">
        <is>
          <t>Cetearyl Alcohol &amp; Cetearyl Glucoside</t>
        </is>
      </c>
      <c r="C16" s="20" t="inlineStr">
        <is>
          <t>B</t>
        </is>
      </c>
      <c r="D16" s="11" t="inlineStr">
        <is>
          <t>유화제</t>
        </is>
      </c>
      <c r="E16" s="12" t="inlineStr">
        <is>
          <t>물과 기름이 분리 안 되게 잡아준다(몬타노브68). 층분리 나면 ①온도 ②호모 먼저, 그래도면 %↑.</t>
        </is>
      </c>
      <c r="F16" s="14" t="inlineStr">
        <is>
          <t>O</t>
        </is>
      </c>
      <c r="G16" s="14" t="inlineStr">
        <is>
          <t>서늘</t>
        </is>
      </c>
      <c r="H16" s="14" t="n">
        <v>200</v>
      </c>
      <c r="I16" s="14">
        <f>SUMIFS(입출고표[수량g],입출고표[원료],[@원료],입출고표[구분],"구매")</f>
        <v/>
      </c>
      <c r="J16" s="14">
        <f>SUMIFS(입출고표[수량g],입출고표[원료],[@원료],입출고표[구분],"조정")</f>
        <v/>
      </c>
      <c r="K16" s="14">
        <f>SUMIF(처방표[원료],[@원료],처방표[사용g])</f>
        <v/>
      </c>
      <c r="L16" s="14">
        <f>[@최초보유g]+[@구매g]+[@조정g]-[@제조사용g]</f>
        <v/>
      </c>
      <c r="M16" s="12" t="inlineStr">
        <is>
          <t>다인소프 '몬타왁스 68' 100g×2(도착). 셀러(서늘·건조·밀폐, 방습). v2 유화제(글루코사이드계, 말라세지아-세이프). 100g당 4g(≈50배치)</t>
        </is>
      </c>
    </row>
    <row r="17">
      <c r="A17" s="11" t="inlineStr">
        <is>
          <t>세틸알코올</t>
        </is>
      </c>
      <c r="B17" s="12" t="inlineStr">
        <is>
          <t>Cetyl Alcohol</t>
        </is>
      </c>
      <c r="C17" s="20" t="inlineStr">
        <is>
          <t>B</t>
        </is>
      </c>
      <c r="D17" s="11" t="inlineStr">
        <is>
          <t>유상·에몰리언트</t>
        </is>
      </c>
      <c r="E17" s="12" t="inlineStr">
        <is>
          <t>오일·지방알코올로 발림·영양·바디를 준다(스쿠알란·MCT·세틸알코올). 무겁/번들이면 %↓, 묽으면 세틸↑.</t>
        </is>
      </c>
      <c r="F17" s="14" t="inlineStr">
        <is>
          <t>O</t>
        </is>
      </c>
      <c r="G17" s="14" t="inlineStr">
        <is>
          <t>서늘</t>
        </is>
      </c>
      <c r="H17" s="14" t="n">
        <v>250</v>
      </c>
      <c r="I17" s="14">
        <f>SUMIFS(입출고표[수량g],입출고표[원료],[@원료],입출고표[구분],"구매")</f>
        <v/>
      </c>
      <c r="J17" s="14">
        <f>SUMIFS(입출고표[수량g],입출고표[원료],[@원료],입출고표[구분],"조정")</f>
        <v/>
      </c>
      <c r="K17" s="14">
        <f>SUMIF(처방표[원료],[@원료],처방표[사용g])</f>
        <v/>
      </c>
      <c r="L17" s="14">
        <f>[@최초보유g]+[@구매g]+[@조정g]-[@제조사용g]</f>
        <v/>
      </c>
      <c r="M17" s="12" t="inlineStr">
        <is>
          <t>허브누리 세틸알코올 250g. 셀러. 100g당 2g</t>
        </is>
      </c>
    </row>
    <row r="18">
      <c r="A18" s="11" t="inlineStr">
        <is>
          <t>스쿠알란</t>
        </is>
      </c>
      <c r="B18" s="12" t="inlineStr">
        <is>
          <t>Squalane</t>
        </is>
      </c>
      <c r="C18" s="20" t="inlineStr">
        <is>
          <t>B</t>
        </is>
      </c>
      <c r="D18" s="11" t="inlineStr">
        <is>
          <t>유상·에몰리언트</t>
        </is>
      </c>
      <c r="E18" s="12" t="inlineStr">
        <is>
          <t>오일·지방알코올로 발림·영양·바디를 준다(스쿠알란·MCT·세틸알코올). 무겁/번들이면 %↓, 묽으면 세틸↑.</t>
        </is>
      </c>
      <c r="F18" s="14" t="inlineStr">
        <is>
          <t>O</t>
        </is>
      </c>
      <c r="G18" s="14" t="inlineStr">
        <is>
          <t>서늘</t>
        </is>
      </c>
      <c r="H18" s="14" t="n">
        <v>100</v>
      </c>
      <c r="I18" s="14">
        <f>SUMIFS(입출고표[수량g],입출고표[원료],[@원료],입출고표[구분],"구매")</f>
        <v/>
      </c>
      <c r="J18" s="14">
        <f>SUMIFS(입출고표[수량g],입출고표[원료],[@원료],입출고표[구분],"조정")</f>
        <v/>
      </c>
      <c r="K18" s="14">
        <f>SUMIF(처방표[원료],[@원료],처방표[사용g])</f>
        <v/>
      </c>
      <c r="L18" s="14">
        <f>[@최초보유g]+[@구매g]+[@조정g]-[@제조사용g]</f>
        <v/>
      </c>
      <c r="M18" s="12" t="inlineStr">
        <is>
          <t>허브누리 유기농 스쿠알란 50ml×2. 셀러. 100g당 5g</t>
        </is>
      </c>
    </row>
    <row r="19">
      <c r="A19" s="11" t="inlineStr">
        <is>
          <t>시어버터</t>
        </is>
      </c>
      <c r="B19" s="12" t="inlineStr">
        <is>
          <t>Butyrospermum Parkii Butter</t>
        </is>
      </c>
      <c r="C19" s="20" t="inlineStr">
        <is>
          <t>B</t>
        </is>
      </c>
      <c r="D19" s="11" t="inlineStr">
        <is>
          <t>유상·에몰리언트</t>
        </is>
      </c>
      <c r="E19" s="12" t="inlineStr">
        <is>
          <t>오일·지방알코올로 발림·영양·바디를 준다(스쿠알란·MCT·세틸알코올). 무겁/번들이면 %↓, 묽으면 세틸↑.</t>
        </is>
      </c>
      <c r="F19" s="20" t="inlineStr">
        <is>
          <t>X</t>
        </is>
      </c>
      <c r="G19" s="14" t="inlineStr">
        <is>
          <t>서늘</t>
        </is>
      </c>
      <c r="H19" s="14" t="n">
        <v>300</v>
      </c>
      <c r="I19" s="14">
        <f>SUMIFS(입출고표[수량g],입출고표[원료],[@원료],입출고표[구분],"구매")</f>
        <v/>
      </c>
      <c r="J19" s="14">
        <f>SUMIFS(입출고표[수량g],입출고표[원료],[@원료],입출고표[구분],"조정")</f>
        <v/>
      </c>
      <c r="K19" s="14">
        <f>SUMIF(처방표[원료],[@원료],처방표[사용g])</f>
        <v/>
      </c>
      <c r="L19" s="14">
        <f>[@최초보유g]+[@구매g]+[@조정g]-[@제조사용g]</f>
        <v/>
      </c>
      <c r="M19" s="12" t="inlineStr">
        <is>
          <t>(v2 미사용 — C11~24 지방산 버터라 히어로 제외). 타 제형·실험용</t>
        </is>
      </c>
    </row>
    <row r="20">
      <c r="A20" s="11" t="inlineStr">
        <is>
          <t>올리브유화왁스</t>
        </is>
      </c>
      <c r="B20" s="12" t="inlineStr">
        <is>
          <t>Cetearyl Olivate &amp; Sorbitan Olivate</t>
        </is>
      </c>
      <c r="C20" s="20" t="inlineStr">
        <is>
          <t>B</t>
        </is>
      </c>
      <c r="D20" s="11" t="inlineStr">
        <is>
          <t>유화제</t>
        </is>
      </c>
      <c r="E20" s="12" t="inlineStr">
        <is>
          <t>물과 기름이 분리 안 되게 잡아준다(몬타노브68). 층분리 나면 ①온도 ②호모 먼저, 그래도면 %↑.</t>
        </is>
      </c>
      <c r="F20" s="20" t="inlineStr">
        <is>
          <t>X</t>
        </is>
      </c>
      <c r="G20" s="14" t="inlineStr">
        <is>
          <t>서늘</t>
        </is>
      </c>
      <c r="H20" s="14" t="n">
        <v>50</v>
      </c>
      <c r="I20" s="14">
        <f>SUMIFS(입출고표[수량g],입출고표[원료],[@원료],입출고표[구분],"구매")</f>
        <v/>
      </c>
      <c r="J20" s="14">
        <f>SUMIFS(입출고표[수량g],입출고표[원료],[@원료],입출고표[구분],"조정")</f>
        <v/>
      </c>
      <c r="K20" s="14">
        <f>SUMIF(처방표[원료],[@원료],처방표[사용g])</f>
        <v/>
      </c>
      <c r="L20" s="14">
        <f>[@최초보유g]+[@구매g]+[@조정g]-[@제조사용g]</f>
        <v/>
      </c>
      <c r="M20" s="12" t="inlineStr">
        <is>
          <t>허브누리 올리브유화왁스(실수령 50g). (v2 미사용 — 올리브 유래라 말라세지아 회색지대로 제외)</t>
        </is>
      </c>
    </row>
    <row r="21">
      <c r="A21" s="11" t="inlineStr">
        <is>
          <t>토코페롤(비타민E)</t>
        </is>
      </c>
      <c r="B21" s="12" t="inlineStr">
        <is>
          <t>Tocopherol</t>
        </is>
      </c>
      <c r="C21" s="20" t="inlineStr">
        <is>
          <t>B</t>
        </is>
      </c>
      <c r="D21" s="11" t="inlineStr">
        <is>
          <t>항산화제</t>
        </is>
      </c>
      <c r="E21" s="12" t="inlineStr">
        <is>
          <t>오일이 산패(쩐내)하는 걸 늦춘다(토코페롤). 쩐내·변색 나면 0.5~1% 추가, 차광 보관.</t>
        </is>
      </c>
      <c r="F21" s="14" t="inlineStr">
        <is>
          <t>O</t>
        </is>
      </c>
      <c r="G21" s="14" t="inlineStr">
        <is>
          <t>서늘</t>
        </is>
      </c>
      <c r="H21" s="14" t="n">
        <v>100</v>
      </c>
      <c r="I21" s="14">
        <f>SUMIFS(입출고표[수량g],입출고표[원료],[@원료],입출고표[구분],"구매")</f>
        <v/>
      </c>
      <c r="J21" s="14">
        <f>SUMIFS(입출고표[수량g],입출고표[원료],[@원료],입출고표[구분],"조정")</f>
        <v/>
      </c>
      <c r="K21" s="14">
        <f>SUMIF(처방표[원료],[@원료],처방표[사용g])</f>
        <v/>
      </c>
      <c r="L21" s="14">
        <f>[@최초보유g]+[@구매g]+[@조정g]-[@제조사용g]</f>
        <v/>
      </c>
      <c r="M21" s="12" t="inlineStr">
        <is>
          <t>허브누리 비타민E 50g×2. (v2 미사용). 산화취약 오일 산패 방지용</t>
        </is>
      </c>
    </row>
    <row r="22">
      <c r="A22" s="11" t="inlineStr">
        <is>
          <t>폴리글리세릴-4 카프레이트</t>
        </is>
      </c>
      <c r="B22" s="12" t="inlineStr">
        <is>
          <t>Polyglyceryl-4 Caprate</t>
        </is>
      </c>
      <c r="C22" s="20" t="inlineStr">
        <is>
          <t>B</t>
        </is>
      </c>
      <c r="D22" s="11" t="inlineStr">
        <is>
          <t>가용화제</t>
        </is>
      </c>
      <c r="E22" s="12" t="inlineStr">
        <is>
          <t>오일이 물을 만나면 유백색으로 풀려 헹궈지게 한다(워시오프 클렌징). 안 헹궈지면 %↑.</t>
        </is>
      </c>
      <c r="F22" s="14" t="inlineStr">
        <is>
          <t>O</t>
        </is>
      </c>
      <c r="G22" s="14" t="inlineStr"/>
      <c r="H22" s="14" t="n">
        <v>0</v>
      </c>
      <c r="I22" s="14">
        <f>SUMIFS(입출고표[수량g],입출고표[원료],[@원료],입출고표[구분],"구매")</f>
        <v/>
      </c>
      <c r="J22" s="14">
        <f>SUMIFS(입출고표[수량g],입출고표[원료],[@원료],입출고표[구분],"조정")</f>
        <v/>
      </c>
      <c r="K22" s="14">
        <f>SUMIF(처방표[원료],[@원료],처방표[사용g])</f>
        <v/>
      </c>
      <c r="L22" s="14">
        <f>[@최초보유g]+[@구매g]+[@조정g]-[@제조사용g]</f>
        <v/>
      </c>
      <c r="M22" s="12" t="inlineStr">
        <is>
          <t>★미보유(구매 필요)</t>
        </is>
      </c>
    </row>
    <row r="23">
      <c r="A23" s="11" t="inlineStr">
        <is>
          <t>호호바오일</t>
        </is>
      </c>
      <c r="B23" s="12" t="inlineStr">
        <is>
          <t>Simmondsia Chinensis Seed Oil</t>
        </is>
      </c>
      <c r="C23" s="20" t="inlineStr">
        <is>
          <t>B</t>
        </is>
      </c>
      <c r="D23" s="11" t="inlineStr">
        <is>
          <t>유상·에몰리언트</t>
        </is>
      </c>
      <c r="E23" s="12" t="inlineStr">
        <is>
          <t>오일·지방알코올로 발림·영양·바디를 준다(스쿠알란·MCT·세틸알코올). 무겁/번들이면 %↓, 묽으면 세틸↑.</t>
        </is>
      </c>
      <c r="F23" s="20" t="inlineStr">
        <is>
          <t>X</t>
        </is>
      </c>
      <c r="G23" s="14" t="inlineStr">
        <is>
          <t>서늘</t>
        </is>
      </c>
      <c r="H23" s="14" t="n">
        <v>200</v>
      </c>
      <c r="I23" s="14">
        <f>SUMIFS(입출고표[수량g],입출고표[원료],[@원료],입출고표[구분],"구매")</f>
        <v/>
      </c>
      <c r="J23" s="14">
        <f>SUMIFS(입출고표[수량g],입출고표[원료],[@원료],입출고표[구분],"조정")</f>
        <v/>
      </c>
      <c r="K23" s="14">
        <f>SUMIF(처방표[원료],[@원료],처방표[사용g])</f>
        <v/>
      </c>
      <c r="L23" s="14">
        <f>[@최초보유g]+[@구매g]+[@조정g]-[@제조사용g]</f>
        <v/>
      </c>
      <c r="M23" s="12" t="inlineStr">
        <is>
          <t>허브누리 정제호호바. (v2 미사용 — 말라세지아 먹이 오일이라 히어로에서 제외)</t>
        </is>
      </c>
    </row>
    <row r="24">
      <c r="A24" s="11" t="inlineStr">
        <is>
          <t>1,2-헥산다이올</t>
        </is>
      </c>
      <c r="B24" s="12" t="inlineStr">
        <is>
          <t>1,2-Hexanediol</t>
        </is>
      </c>
      <c r="C24" s="15" t="inlineStr">
        <is>
          <t>C</t>
        </is>
      </c>
      <c r="D24" s="11" t="inlineStr">
        <is>
          <t>방부제</t>
        </is>
      </c>
      <c r="E24" s="12" t="inlineStr">
        <is>
          <t>세균·곰팡이를 막는다(페녹시에탄올+헥산다이올). 물 든 제품 필수. 오염 나면 함량·소독 점검.</t>
        </is>
      </c>
      <c r="F24" s="14" t="inlineStr">
        <is>
          <t>O</t>
        </is>
      </c>
      <c r="G24" s="14" t="inlineStr">
        <is>
          <t>서늘</t>
        </is>
      </c>
      <c r="H24" s="14" t="n">
        <v>100</v>
      </c>
      <c r="I24" s="14">
        <f>SUMIFS(입출고표[수량g],입출고표[원료],[@원료],입출고표[구분],"구매")</f>
        <v/>
      </c>
      <c r="J24" s="14">
        <f>SUMIFS(입출고표[수량g],입출고표[원료],[@원료],입출고표[구분],"조정")</f>
        <v/>
      </c>
      <c r="K24" s="14">
        <f>SUMIF(처방표[원료],[@원료],처방표[사용g])</f>
        <v/>
      </c>
      <c r="L24" s="14">
        <f>[@최초보유g]+[@구매g]+[@조정g]-[@제조사용g]</f>
        <v/>
      </c>
      <c r="M24" s="12" t="inlineStr">
        <is>
          <t>천연사랑 1,2-헥산다이올(액상). 방부 부스터(페녹시와 병용). 100g당 1g. v2 방부 시스템 완성</t>
        </is>
      </c>
    </row>
    <row r="25">
      <c r="A25" s="11" t="inlineStr">
        <is>
          <t>녹차추출물</t>
        </is>
      </c>
      <c r="B25" s="12" t="inlineStr">
        <is>
          <t>Camellia Sinensis Leaf Extract</t>
        </is>
      </c>
      <c r="C25" s="15" t="inlineStr">
        <is>
          <t>C</t>
        </is>
      </c>
      <c r="D25" s="11" t="inlineStr">
        <is>
          <t>활성</t>
        </is>
      </c>
      <c r="E25" s="12" t="inlineStr">
        <is>
          <t>효능을 내는 성분(피지·진정·톤 등). 따갑/자극 나면 고농도 활성(나이아신아마이드 등)부터 %↓, 민감하면 2%부터 올려가며 테스트.</t>
        </is>
      </c>
      <c r="F25" s="14" t="inlineStr">
        <is>
          <t>O</t>
        </is>
      </c>
      <c r="G25" s="14" t="inlineStr">
        <is>
          <t>냉장</t>
        </is>
      </c>
      <c r="H25" s="14" t="n">
        <v>50</v>
      </c>
      <c r="I25" s="14">
        <f>SUMIFS(입출고표[수량g],입출고표[원료],[@원료],입출고표[구분],"구매")</f>
        <v/>
      </c>
      <c r="J25" s="14">
        <f>SUMIFS(입출고표[수량g],입출고표[원료],[@원료],입출고표[구분],"조정")</f>
        <v/>
      </c>
      <c r="K25" s="14">
        <f>SUMIF(처방표[원료],[@원료],처방표[사용g])</f>
        <v/>
      </c>
      <c r="L25" s="14">
        <f>[@최초보유g]+[@구매g]+[@조정g]-[@제조사용g]</f>
        <v/>
      </c>
      <c r="M25" s="12" t="inlineStr">
        <is>
          <t>천연사랑 '제주녹차 추출물' 50ml(수용성). ★냉장 보관·차광(폴리페놀 산화·갈변 취약, 개봉 후 특히). 100g당 2g(≈25배치). CoA 확인</t>
        </is>
      </c>
    </row>
    <row r="26">
      <c r="A26" s="11" t="inlineStr">
        <is>
          <t>마데카소사이드</t>
        </is>
      </c>
      <c r="B26" s="12" t="inlineStr">
        <is>
          <t>Madecassoside</t>
        </is>
      </c>
      <c r="C26" s="15" t="inlineStr">
        <is>
          <t>C</t>
        </is>
      </c>
      <c r="D26" s="11" t="inlineStr">
        <is>
          <t>활성</t>
        </is>
      </c>
      <c r="E26" s="12" t="inlineStr">
        <is>
          <t>효능을 내는 성분(피지·진정·톤 등). 따갑/자극 나면 고농도 활성(나이아신아마이드 등)부터 %↓, 민감하면 2%부터 올려가며 테스트.</t>
        </is>
      </c>
      <c r="F26" s="14" t="inlineStr">
        <is>
          <t>O</t>
        </is>
      </c>
      <c r="G26" s="14" t="inlineStr">
        <is>
          <t>냉동</t>
        </is>
      </c>
      <c r="H26" s="14" t="n">
        <v>30</v>
      </c>
      <c r="I26" s="14">
        <f>SUMIFS(입출고표[수량g],입출고표[원료],[@원료],입출고표[구분],"구매")</f>
        <v/>
      </c>
      <c r="J26" s="14">
        <f>SUMIFS(입출고표[수량g],입출고표[원료],[@원료],입출고표[구분],"조정")</f>
        <v/>
      </c>
      <c r="K26" s="14">
        <f>SUMIF(처방표[원료],[@원료],처방표[사용g])</f>
        <v/>
      </c>
      <c r="L26" s="14">
        <f>[@최초보유g]+[@구매g]+[@조정g]-[@제조사용g]</f>
        <v/>
      </c>
      <c r="M26" s="12" t="inlineStr">
        <is>
          <t>허브누리 마데카소사이드 30g(액상). ★냉동 보관. v2 '센텔라추출물' 대체. 100g당 1g</t>
        </is>
      </c>
    </row>
    <row r="27">
      <c r="A27" s="11" t="inlineStr">
        <is>
          <t>판테놀(B5)</t>
        </is>
      </c>
      <c r="B27" s="12" t="inlineStr">
        <is>
          <t>Panthenol</t>
        </is>
      </c>
      <c r="C27" s="15" t="inlineStr">
        <is>
          <t>C</t>
        </is>
      </c>
      <c r="D27" s="11" t="inlineStr">
        <is>
          <t>활성</t>
        </is>
      </c>
      <c r="E27" s="12" t="inlineStr">
        <is>
          <t>효능을 내는 성분(피지·진정·톤 등). 따갑/자극 나면 고농도 활성(나이아신아마이드 등)부터 %↓, 민감하면 2%부터 올려가며 테스트.</t>
        </is>
      </c>
      <c r="F27" s="14" t="inlineStr">
        <is>
          <t>O</t>
        </is>
      </c>
      <c r="G27" s="14" t="inlineStr">
        <is>
          <t>서늘</t>
        </is>
      </c>
      <c r="H27" s="14" t="n">
        <v>90</v>
      </c>
      <c r="I27" s="14">
        <f>SUMIFS(입출고표[수량g],입출고표[원료],[@원료],입출고표[구분],"구매")</f>
        <v/>
      </c>
      <c r="J27" s="14">
        <f>SUMIFS(입출고표[수량g],입출고표[원료],[@원료],입출고표[구분],"조정")</f>
        <v/>
      </c>
      <c r="K27" s="14">
        <f>SUMIF(처방표[원료],[@원료],처방표[사용g])</f>
        <v/>
      </c>
      <c r="L27" s="14">
        <f>[@최초보유g]+[@구매g]+[@조정g]-[@제조사용g]</f>
        <v/>
      </c>
      <c r="M27" s="12" t="inlineStr">
        <is>
          <t>허브누리 판테놀 30ml×3. 셀러. 100g당 1g</t>
        </is>
      </c>
    </row>
    <row r="28">
      <c r="A28" s="11" t="inlineStr">
        <is>
          <t>페녹시에탄올</t>
        </is>
      </c>
      <c r="B28" s="12" t="inlineStr">
        <is>
          <t>Phenoxyethanol</t>
        </is>
      </c>
      <c r="C28" s="15" t="inlineStr">
        <is>
          <t>C</t>
        </is>
      </c>
      <c r="D28" s="11" t="inlineStr">
        <is>
          <t>방부제</t>
        </is>
      </c>
      <c r="E28" s="12" t="inlineStr">
        <is>
          <t>세균·곰팡이를 막는다(페녹시에탄올+헥산다이올). 물 든 제품 필수. 오염 나면 함량·소독 점검.</t>
        </is>
      </c>
      <c r="F28" s="14" t="inlineStr">
        <is>
          <t>O</t>
        </is>
      </c>
      <c r="G28" s="14" t="inlineStr">
        <is>
          <t>서늘</t>
        </is>
      </c>
      <c r="H28" s="14" t="n">
        <v>100</v>
      </c>
      <c r="I28" s="14">
        <f>SUMIFS(입출고표[수량g],입출고표[원료],[@원료],입출고표[구분],"구매")</f>
        <v/>
      </c>
      <c r="J28" s="14">
        <f>SUMIFS(입출고표[수량g],입출고표[원료],[@원료],입출고표[구분],"조정")</f>
        <v/>
      </c>
      <c r="K28" s="14">
        <f>SUMIF(처방표[원료],[@원료],처방표[사용g])</f>
        <v/>
      </c>
      <c r="L28" s="14">
        <f>[@최초보유g]+[@구매g]+[@조정g]-[@제조사용g]</f>
        <v/>
      </c>
      <c r="M28" s="12" t="inlineStr">
        <is>
          <t>천연사랑 액상 보존제(신규·신선분). 단독(부스터 없음)이라 hexanediol과 병용. 100g당 0.7g</t>
        </is>
      </c>
    </row>
    <row r="29">
      <c r="A29" s="11" t="inlineStr">
        <is>
          <t>구연산</t>
        </is>
      </c>
      <c r="B29" s="12" t="inlineStr">
        <is>
          <t>Citric Acid</t>
        </is>
      </c>
      <c r="C29" s="16" t="inlineStr">
        <is>
          <t>pH</t>
        </is>
      </c>
      <c r="D29" s="11" t="inlineStr">
        <is>
          <t>pH조절</t>
        </is>
      </c>
      <c r="E29" s="12" t="inlineStr">
        <is>
          <t>산도를 피부에 맞춘다(구연산, 목표 5.0~5.5). 높으면 산 한 방울씩, 낮으면 정제수로 희석.</t>
        </is>
      </c>
      <c r="F29" s="14" t="inlineStr">
        <is>
          <t>O</t>
        </is>
      </c>
      <c r="G29" s="14" t="inlineStr">
        <is>
          <t>방습</t>
        </is>
      </c>
      <c r="H29" s="14" t="n">
        <v>500</v>
      </c>
      <c r="I29" s="14">
        <f>SUMIFS(입출고표[수량g],입출고표[원료],[@원료],입출고표[구분],"구매")</f>
        <v/>
      </c>
      <c r="J29" s="14">
        <f>SUMIFS(입출고표[수량g],입출고표[원료],[@원료],입출고표[구분],"조정")</f>
        <v/>
      </c>
      <c r="K29" s="14">
        <f>SUMIF(처방표[원료],[@원료],처방표[사용g])</f>
        <v/>
      </c>
      <c r="L29" s="14">
        <f>[@최초보유g]+[@구매g]+[@조정g]-[@제조사용g]</f>
        <v/>
      </c>
      <c r="M29" s="12" t="inlineStr">
        <is>
          <t>GO5109 무수구연산(고체) 500g. 방습고. pH 조절용 희석액으로 소량</t>
        </is>
      </c>
    </row>
  </sheetData>
  <mergeCells count="2">
    <mergeCell ref="A2:M2"/>
    <mergeCell ref="A1:M1"/>
  </mergeCells>
  <conditionalFormatting sqref="L4:L29">
    <cfRule type="cellIs" priority="1" operator="lessThan" dxfId="0">
      <formula>0</formula>
    </cfRule>
  </conditionalFormatting>
  <dataValidations count="1">
    <dataValidation sqref="D4:D29" showDropDown="0" showInputMessage="0" showErrorMessage="0" allowBlank="1" type="list">
      <formula1>"용제,보습,활성,유화제,점증제,유상·에몰리언트,감촉·실리콘,향료,방부제,항산화제,pH조절,가용화제"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36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6" customWidth="1" min="2" max="2"/>
    <col width="26" customWidth="1" min="3" max="3"/>
    <col width="34" customWidth="1" min="4" max="4"/>
    <col width="8" customWidth="1" min="5" max="5"/>
    <col width="26" customWidth="1" min="6" max="6"/>
  </cols>
  <sheetData>
    <row r="1" ht="30" customHeight="1">
      <c r="A1" s="1" t="inlineStr">
        <is>
          <t>도구 모음 — 보유/추천 장비·소모품</t>
        </is>
      </c>
    </row>
    <row r="2" ht="44" customHeight="1">
      <c r="A2" s="21" t="inlineStr">
        <is>
          <t>실험에 쓰는 장비·소모품 모음. 분류·보유로 필터해서 '뭘 더 사야 하나'를 본다. '보유'·'메모'는 네가 고쳐도 재생성 때 보존된다.   ┃ 보유 값: 보유=가지고 있음 · 추천=있으면 좋음(필요 시 구매) · 소모품=떨어지면 보충 · 필수=없으면 시작 금지</t>
        </is>
      </c>
    </row>
    <row r="3">
      <c r="A3" s="10" t="inlineStr">
        <is>
          <t>분류</t>
        </is>
      </c>
      <c r="B3" s="10" t="inlineStr">
        <is>
          <t>도구</t>
        </is>
      </c>
      <c r="C3" s="10" t="inlineStr">
        <is>
          <t>권장규격·모델</t>
        </is>
      </c>
      <c r="D3" s="10" t="inlineStr">
        <is>
          <t>용도</t>
        </is>
      </c>
      <c r="E3" s="10" t="inlineStr">
        <is>
          <t>보유</t>
        </is>
      </c>
      <c r="F3" s="10" t="inlineStr">
        <is>
          <t>메모</t>
        </is>
      </c>
    </row>
    <row r="4">
      <c r="A4" s="11" t="inlineStr">
        <is>
          <t>계량</t>
        </is>
      </c>
      <c r="B4" s="11" t="inlineStr">
        <is>
          <t>정밀 저울</t>
        </is>
      </c>
      <c r="C4" s="12" t="inlineStr">
        <is>
          <t>0.01g(필요시 0.001g)·최대 ~200g</t>
        </is>
      </c>
      <c r="D4" s="12" t="inlineStr">
        <is>
          <t>활성·검·보존제·향 등 1% 이하 소량 계량</t>
        </is>
      </c>
      <c r="E4" s="14" t="inlineStr">
        <is>
          <t>보유</t>
        </is>
      </c>
      <c r="F4" s="12" t="inlineStr"/>
    </row>
    <row r="5">
      <c r="A5" s="11" t="inlineStr">
        <is>
          <t>계량</t>
        </is>
      </c>
      <c r="B5" s="11" t="inlineStr">
        <is>
          <t>벤치 저울</t>
        </is>
      </c>
      <c r="C5" s="12" t="inlineStr">
        <is>
          <t>0.1g·최대 2~3kg</t>
        </is>
      </c>
      <c r="D5" s="12" t="inlineStr">
        <is>
          <t>정제수·오일·베이스 등 대량 계량</t>
        </is>
      </c>
      <c r="E5" s="14" t="inlineStr">
        <is>
          <t>추천</t>
        </is>
      </c>
      <c r="F5" s="12" t="inlineStr"/>
    </row>
    <row r="6">
      <c r="A6" s="11" t="inlineStr">
        <is>
          <t>계량</t>
        </is>
      </c>
      <c r="B6" s="11" t="inlineStr">
        <is>
          <t>유산지(칭량지)·약포지</t>
        </is>
      </c>
      <c r="C6" s="12" t="inlineStr">
        <is>
          <t>소모품</t>
        </is>
      </c>
      <c r="D6" s="12" t="inlineStr">
        <is>
          <t>분말 깔고 TARE 계량(비커 안 더럽힘)</t>
        </is>
      </c>
      <c r="E6" s="14" t="inlineStr">
        <is>
          <t>소모품</t>
        </is>
      </c>
      <c r="F6" s="12" t="inlineStr"/>
    </row>
    <row r="7">
      <c r="A7" s="11" t="inlineStr">
        <is>
          <t>계량</t>
        </is>
      </c>
      <c r="B7" s="11" t="inlineStr">
        <is>
          <t>스패출러·약수저</t>
        </is>
      </c>
      <c r="C7" s="12" t="inlineStr">
        <is>
          <t>스테인리스</t>
        </is>
      </c>
      <c r="D7" s="12" t="inlineStr">
        <is>
          <t>원료 덜기</t>
        </is>
      </c>
      <c r="E7" s="14" t="inlineStr">
        <is>
          <t>보유</t>
        </is>
      </c>
      <c r="F7" s="12" t="inlineStr"/>
    </row>
    <row r="8">
      <c r="A8" s="11" t="inlineStr">
        <is>
          <t>계량</t>
        </is>
      </c>
      <c r="B8" s="11" t="inlineStr">
        <is>
          <t>메스실린더</t>
        </is>
      </c>
      <c r="C8" s="12" t="inlineStr">
        <is>
          <t>50·100mL</t>
        </is>
      </c>
      <c r="D8" s="12" t="inlineStr">
        <is>
          <t>액체 부피 참고(정밀은 저울로)</t>
        </is>
      </c>
      <c r="E8" s="14" t="inlineStr">
        <is>
          <t>추천</t>
        </is>
      </c>
      <c r="F8" s="12" t="inlineStr"/>
    </row>
    <row r="9">
      <c r="A9" s="11" t="inlineStr">
        <is>
          <t>가열·교반</t>
        </is>
      </c>
      <c r="B9" s="11" t="inlineStr">
        <is>
          <t>가열 자력교반기(핫플+스터러)</t>
        </is>
      </c>
      <c r="C9" s="12" t="inlineStr">
        <is>
          <t>HS5Pro + 온도프로브</t>
        </is>
      </c>
      <c r="D9" s="12" t="inlineStr">
        <is>
          <t>수상 가열·70~75℃ 유지·자석교반</t>
        </is>
      </c>
      <c r="E9" s="14" t="inlineStr">
        <is>
          <t>보유</t>
        </is>
      </c>
      <c r="F9" s="12" t="inlineStr"/>
    </row>
    <row r="10">
      <c r="A10" s="11" t="inlineStr">
        <is>
          <t>가열·교반</t>
        </is>
      </c>
      <c r="B10" s="11" t="inlineStr">
        <is>
          <t>자석교반자 + 회수막대</t>
        </is>
      </c>
      <c r="C10" s="12" t="inlineStr">
        <is>
          <t>PTFE 바</t>
        </is>
      </c>
      <c r="D10" s="12" t="inlineStr">
        <is>
          <t>교반 / 뜨거운 비커서 바 회수</t>
        </is>
      </c>
      <c r="E10" s="14" t="inlineStr">
        <is>
          <t>보유</t>
        </is>
      </c>
      <c r="F10" s="12" t="inlineStr"/>
    </row>
    <row r="11">
      <c r="A11" s="11" t="inlineStr">
        <is>
          <t>가열·교반</t>
        </is>
      </c>
      <c r="B11" s="11" t="inlineStr">
        <is>
          <t>중탕 냄비</t>
        </is>
      </c>
      <c r="C11" s="12" t="inlineStr">
        <is>
          <t>주방용</t>
        </is>
      </c>
      <c r="D11" s="12" t="inlineStr">
        <is>
          <t>유상 간접 가열(항온수조 대체)</t>
        </is>
      </c>
      <c r="E11" s="14" t="inlineStr">
        <is>
          <t>보유</t>
        </is>
      </c>
      <c r="F11" s="12" t="inlineStr"/>
    </row>
    <row r="12">
      <c r="A12" s="11" t="inlineStr">
        <is>
          <t>가열·교반</t>
        </is>
      </c>
      <c r="B12" s="11" t="inlineStr">
        <is>
          <t>디지털 온도계 2개</t>
        </is>
      </c>
      <c r="C12" s="12" t="inlineStr">
        <is>
          <t>프로브형</t>
        </is>
      </c>
      <c r="D12" s="12" t="inlineStr">
        <is>
          <t>수상=프로브, 유상=별도 온도계</t>
        </is>
      </c>
      <c r="E12" s="14" t="inlineStr">
        <is>
          <t>추천</t>
        </is>
      </c>
      <c r="F12" s="12" t="inlineStr"/>
    </row>
    <row r="13">
      <c r="A13" s="11" t="inlineStr">
        <is>
          <t>가열·교반</t>
        </is>
      </c>
      <c r="B13" s="11" t="inlineStr">
        <is>
          <t>시계접시·비커뚜껑</t>
        </is>
      </c>
      <c r="C13" s="12" t="inlineStr">
        <is>
          <t>유리</t>
        </is>
      </c>
      <c r="D13" s="12" t="inlineStr">
        <is>
          <t>가열 중 물 증발 방지</t>
        </is>
      </c>
      <c r="E13" s="14" t="inlineStr">
        <is>
          <t>추천</t>
        </is>
      </c>
      <c r="F13" s="12" t="inlineStr"/>
    </row>
    <row r="14">
      <c r="A14" s="11" t="inlineStr">
        <is>
          <t>가열·교반</t>
        </is>
      </c>
      <c r="B14" s="11" t="inlineStr">
        <is>
          <t>비커집게·내열장갑</t>
        </is>
      </c>
      <c r="C14" s="12" t="inlineStr">
        <is>
          <t>—</t>
        </is>
      </c>
      <c r="D14" s="12" t="inlineStr">
        <is>
          <t>70~75℃ 화상 방지</t>
        </is>
      </c>
      <c r="E14" s="14" t="inlineStr">
        <is>
          <t>추천</t>
        </is>
      </c>
      <c r="F14" s="12" t="inlineStr"/>
    </row>
    <row r="15">
      <c r="A15" s="11" t="inlineStr">
        <is>
          <t>유화·냉각</t>
        </is>
      </c>
      <c r="B15" s="11" t="inlineStr">
        <is>
          <t>호모나이저</t>
        </is>
      </c>
      <c r="C15" s="12" t="inlineStr">
        <is>
          <t>HZ-400</t>
        </is>
      </c>
      <c r="D15" s="12" t="inlineStr">
        <is>
          <t>유화(고전단) 전용 — 유화는 이것만</t>
        </is>
      </c>
      <c r="E15" s="14" t="inlineStr">
        <is>
          <t>보유</t>
        </is>
      </c>
      <c r="F15" s="12" t="inlineStr"/>
    </row>
    <row r="16">
      <c r="A16" s="11" t="inlineStr">
        <is>
          <t>유화·냉각</t>
        </is>
      </c>
      <c r="B16" s="11" t="inlineStr">
        <is>
          <t>오버헤드 교반기 + 패들</t>
        </is>
      </c>
      <c r="C16" s="12" t="inlineStr">
        <is>
          <t>OC-15S + 임펠러·클램프</t>
        </is>
      </c>
      <c r="D16" s="12" t="inlineStr">
        <is>
          <t>냉각 교반(저속·길게), 크림 필수</t>
        </is>
      </c>
      <c r="E16" s="14" t="inlineStr">
        <is>
          <t>보유</t>
        </is>
      </c>
      <c r="F16" s="12" t="inlineStr"/>
    </row>
    <row r="17">
      <c r="A17" s="11" t="inlineStr">
        <is>
          <t>측정·판정</t>
        </is>
      </c>
      <c r="B17" s="11" t="inlineStr">
        <is>
          <t>pH 미터</t>
        </is>
      </c>
      <c r="C17" s="12" t="inlineStr">
        <is>
          <t>+ 교정버퍼 4·7 + 보관액</t>
        </is>
      </c>
      <c r="D17" s="12" t="inlineStr">
        <is>
          <t>로션·크림 pH 측정·보정</t>
        </is>
      </c>
      <c r="E17" s="14" t="inlineStr">
        <is>
          <t>보유</t>
        </is>
      </c>
      <c r="F17" s="12" t="inlineStr"/>
    </row>
    <row r="18">
      <c r="A18" s="11" t="inlineStr">
        <is>
          <t>측정·판정</t>
        </is>
      </c>
      <c r="B18" s="11" t="inlineStr">
        <is>
          <t>pH 스트립</t>
        </is>
      </c>
      <c r="C18" s="12" t="inlineStr">
        <is>
          <t>0.2~0.5 눈금</t>
        </is>
      </c>
      <c r="D18" s="12" t="inlineStr">
        <is>
          <t>간이 pH(미터 백업)</t>
        </is>
      </c>
      <c r="E18" s="14" t="inlineStr">
        <is>
          <t>추천</t>
        </is>
      </c>
      <c r="F18" s="12" t="inlineStr"/>
    </row>
    <row r="19">
      <c r="A19" s="11" t="inlineStr">
        <is>
          <t>측정·판정</t>
        </is>
      </c>
      <c r="B19" s="11" t="inlineStr">
        <is>
          <t>원심분리기</t>
        </is>
      </c>
      <c r="C19" s="12" t="inlineStr">
        <is>
          <t>LC-8S(저속 8×15mL)</t>
        </is>
      </c>
      <c r="D19" s="12" t="inlineStr">
        <is>
          <t>당일 유화 분리 판정(분리mm)</t>
        </is>
      </c>
      <c r="E19" s="14" t="inlineStr">
        <is>
          <t>보유</t>
        </is>
      </c>
      <c r="F19" s="12" t="inlineStr"/>
    </row>
    <row r="20">
      <c r="A20" s="11" t="inlineStr">
        <is>
          <t>측정·판정</t>
        </is>
      </c>
      <c r="B20" s="11" t="inlineStr">
        <is>
          <t>15mL 코니컬 튜브 + 랙</t>
        </is>
      </c>
      <c r="C20" s="12" t="inlineStr">
        <is>
          <t>눈금 있는 것</t>
        </is>
      </c>
      <c r="D20" s="12" t="inlineStr">
        <is>
          <t>원심 샘플(10g×2 대칭)</t>
        </is>
      </c>
      <c r="E20" s="14" t="inlineStr">
        <is>
          <t>소모품</t>
        </is>
      </c>
      <c r="F20" s="12" t="inlineStr"/>
    </row>
    <row r="21">
      <c r="A21" s="11" t="inlineStr">
        <is>
          <t>유리기구</t>
        </is>
      </c>
      <c r="B21" s="11" t="inlineStr">
        <is>
          <t>비커</t>
        </is>
      </c>
      <c r="C21" s="12" t="inlineStr">
        <is>
          <t>100·250·500mL 각 2~3개</t>
        </is>
      </c>
      <c r="D21" s="12" t="inlineStr">
        <is>
          <t>계량·가열·혼합</t>
        </is>
      </c>
      <c r="E21" s="14" t="inlineStr">
        <is>
          <t>보유</t>
        </is>
      </c>
      <c r="F21" s="12" t="inlineStr"/>
    </row>
    <row r="22">
      <c r="A22" s="11" t="inlineStr">
        <is>
          <t>유리기구</t>
        </is>
      </c>
      <c r="B22" s="11" t="inlineStr">
        <is>
          <t>유리막대</t>
        </is>
      </c>
      <c r="C22" s="12" t="inlineStr">
        <is>
          <t>—</t>
        </is>
      </c>
      <c r="D22" s="12" t="inlineStr">
        <is>
          <t>젓기·검 선분산 개기</t>
        </is>
      </c>
      <c r="E22" s="14" t="inlineStr">
        <is>
          <t>보유</t>
        </is>
      </c>
      <c r="F22" s="12" t="inlineStr"/>
    </row>
    <row r="23">
      <c r="A23" s="11" t="inlineStr">
        <is>
          <t>소분·보관</t>
        </is>
      </c>
      <c r="B23" s="11" t="inlineStr">
        <is>
          <t>투명 유리 바이알</t>
        </is>
      </c>
      <c r="C23" s="12" t="inlineStr">
        <is>
          <t>20~30mL 다수</t>
        </is>
      </c>
      <c r="D23" s="12" t="inlineStr">
        <is>
          <t>안정성 소분(4조건+대조군)</t>
        </is>
      </c>
      <c r="E23" s="14" t="inlineStr">
        <is>
          <t>보유</t>
        </is>
      </c>
      <c r="F23" s="12" t="inlineStr"/>
    </row>
    <row r="24">
      <c r="A24" s="11" t="inlineStr">
        <is>
          <t>소분·보관</t>
        </is>
      </c>
      <c r="B24" s="11" t="inlineStr">
        <is>
          <t>시제품 용기</t>
        </is>
      </c>
      <c r="C24" s="12" t="inlineStr">
        <is>
          <t>로션=펌프/튜브, 크림=자/에어리스</t>
        </is>
      </c>
      <c r="D24" s="12" t="inlineStr">
        <is>
          <t>완제품 충전</t>
        </is>
      </c>
      <c r="E24" s="14" t="inlineStr">
        <is>
          <t>추천</t>
        </is>
      </c>
      <c r="F24" s="12" t="inlineStr"/>
    </row>
    <row r="25">
      <c r="A25" s="11" t="inlineStr">
        <is>
          <t>소분·보관</t>
        </is>
      </c>
      <c r="B25" s="11" t="inlineStr">
        <is>
          <t>스포이드</t>
        </is>
      </c>
      <c r="C25" s="12" t="inlineStr">
        <is>
          <t>일회용 PE / 유리(향 전용)</t>
        </is>
      </c>
      <c r="D25" s="12" t="inlineStr">
        <is>
          <t>소량·pH 적정</t>
        </is>
      </c>
      <c r="E25" s="14" t="inlineStr">
        <is>
          <t>소모품</t>
        </is>
      </c>
      <c r="F25" s="12" t="inlineStr"/>
    </row>
    <row r="26">
      <c r="A26" s="11" t="inlineStr">
        <is>
          <t>소분·보관</t>
        </is>
      </c>
      <c r="B26" s="11" t="inlineStr">
        <is>
          <t>라벨지 + 유성마커</t>
        </is>
      </c>
      <c r="C26" s="12" t="inlineStr">
        <is>
          <t>—</t>
        </is>
      </c>
      <c r="D26" s="12" t="inlineStr">
        <is>
          <t>배치·조건·날짜 기록</t>
        </is>
      </c>
      <c r="E26" s="14" t="inlineStr">
        <is>
          <t>소모품</t>
        </is>
      </c>
      <c r="F26" s="12" t="inlineStr"/>
    </row>
    <row r="27">
      <c r="A27" s="11" t="inlineStr">
        <is>
          <t>세척·위생</t>
        </is>
      </c>
      <c r="B27" s="11" t="inlineStr">
        <is>
          <t>70% 에탄올 + 분무기</t>
        </is>
      </c>
      <c r="C27" s="12" t="inlineStr">
        <is>
          <t>소모품</t>
        </is>
      </c>
      <c r="D27" s="12" t="inlineStr">
        <is>
          <t>도구·용기·손 소독(제일 중요)</t>
        </is>
      </c>
      <c r="E27" s="14" t="inlineStr">
        <is>
          <t>소모품</t>
        </is>
      </c>
      <c r="F27" s="12" t="inlineStr"/>
    </row>
    <row r="28">
      <c r="A28" s="11" t="inlineStr">
        <is>
          <t>세척·위생</t>
        </is>
      </c>
      <c r="B28" s="11" t="inlineStr">
        <is>
          <t>병솔·시험관솔</t>
        </is>
      </c>
      <c r="C28" s="12" t="inlineStr">
        <is>
          <t>호모헤드 전용솔 포함</t>
        </is>
      </c>
      <c r="D28" s="12" t="inlineStr">
        <is>
          <t>비커·튜브·호모헤드 세척</t>
        </is>
      </c>
      <c r="E28" s="14" t="inlineStr">
        <is>
          <t>보유</t>
        </is>
      </c>
      <c r="F28" s="12" t="inlineStr"/>
    </row>
    <row r="29">
      <c r="A29" s="11" t="inlineStr">
        <is>
          <t>세척·위생</t>
        </is>
      </c>
      <c r="B29" s="11" t="inlineStr">
        <is>
          <t>페그(젖병) 건조대</t>
        </is>
      </c>
      <c r="C29" s="12" t="inlineStr">
        <is>
          <t>—</t>
        </is>
      </c>
      <c r="D29" s="12" t="inlineStr">
        <is>
          <t>거꾸로 꽂아 완전 건조</t>
        </is>
      </c>
      <c r="E29" s="14" t="inlineStr">
        <is>
          <t>추천</t>
        </is>
      </c>
      <c r="F29" s="12" t="inlineStr"/>
    </row>
    <row r="30">
      <c r="A30" s="11" t="inlineStr">
        <is>
          <t>세척·위생</t>
        </is>
      </c>
      <c r="B30" s="11" t="inlineStr">
        <is>
          <t>정제수/증류수</t>
        </is>
      </c>
      <c r="C30" s="12" t="inlineStr">
        <is>
          <t>소모품</t>
        </is>
      </c>
      <c r="D30" s="12" t="inlineStr">
        <is>
          <t>최종 헹굼·처방 용수(수돗물 금지)</t>
        </is>
      </c>
      <c r="E30" s="14" t="inlineStr">
        <is>
          <t>소모품</t>
        </is>
      </c>
      <c r="F30" s="12" t="inlineStr"/>
    </row>
    <row r="31">
      <c r="A31" s="11" t="inlineStr">
        <is>
          <t>안정성 환경</t>
        </is>
      </c>
      <c r="B31" s="11" t="inlineStr">
        <is>
          <t>45℃ 인큐베이터/발효기</t>
        </is>
      </c>
      <c r="C31" s="12" t="inlineStr">
        <is>
          <t>챔버형</t>
        </is>
      </c>
      <c r="D31" s="12" t="inlineStr">
        <is>
          <t>가속 안정성 보관(45℃)</t>
        </is>
      </c>
      <c r="E31" s="14" t="inlineStr">
        <is>
          <t>보유</t>
        </is>
      </c>
      <c r="F31" s="12" t="inlineStr"/>
    </row>
    <row r="32">
      <c r="A32" s="11" t="inlineStr">
        <is>
          <t>안정성 환경</t>
        </is>
      </c>
      <c r="B32" s="11" t="inlineStr">
        <is>
          <t>냉장(4℃)·냉동</t>
        </is>
      </c>
      <c r="C32" s="12" t="inlineStr">
        <is>
          <t>주방 냉장고</t>
        </is>
      </c>
      <c r="D32" s="12" t="inlineStr">
        <is>
          <t>저온·동결융해 안정성</t>
        </is>
      </c>
      <c r="E32" s="14" t="inlineStr">
        <is>
          <t>보유</t>
        </is>
      </c>
      <c r="F32" s="12" t="inlineStr"/>
    </row>
    <row r="33">
      <c r="A33" s="11" t="inlineStr">
        <is>
          <t>안정성 환경</t>
        </is>
      </c>
      <c r="B33" s="11" t="inlineStr">
        <is>
          <t>컴프레서 와인셀러 15℃</t>
        </is>
      </c>
      <c r="C33" s="12" t="inlineStr">
        <is>
          <t>펠티어 말고 컴프레서</t>
        </is>
      </c>
      <c r="D33" s="12" t="inlineStr">
        <is>
          <t>원료 냉암 보관(여름 대비)</t>
        </is>
      </c>
      <c r="E33" s="14" t="inlineStr">
        <is>
          <t>추천</t>
        </is>
      </c>
      <c r="F33" s="12" t="inlineStr"/>
    </row>
    <row r="34">
      <c r="A34" s="11" t="inlineStr">
        <is>
          <t>안전</t>
        </is>
      </c>
      <c r="B34" s="11" t="inlineStr">
        <is>
          <t>ABC 분말 소화기</t>
        </is>
      </c>
      <c r="C34" s="12" t="inlineStr">
        <is>
          <t>작업 반경 내</t>
        </is>
      </c>
      <c r="D34" s="12" t="inlineStr">
        <is>
          <t>에탄올·발열 화재 대비</t>
        </is>
      </c>
      <c r="E34" s="14" t="inlineStr">
        <is>
          <t>추천</t>
        </is>
      </c>
      <c r="F34" s="12" t="inlineStr"/>
    </row>
    <row r="35">
      <c r="A35" s="11" t="inlineStr">
        <is>
          <t>안전</t>
        </is>
      </c>
      <c r="B35" s="11" t="inlineStr">
        <is>
          <t>니트릴 장갑·보안경</t>
        </is>
      </c>
      <c r="C35" s="12" t="inlineStr">
        <is>
          <t>소모품</t>
        </is>
      </c>
      <c r="D35" s="12" t="inlineStr">
        <is>
          <t>향료·산·열 보호</t>
        </is>
      </c>
      <c r="E35" s="14" t="inlineStr">
        <is>
          <t>소모품</t>
        </is>
      </c>
      <c r="F35" s="12" t="inlineStr"/>
    </row>
    <row r="36">
      <c r="A36" s="11" t="inlineStr">
        <is>
          <t>안전</t>
        </is>
      </c>
      <c r="B36" s="11" t="inlineStr">
        <is>
          <t>환기(창문/국소배기)</t>
        </is>
      </c>
      <c r="C36" s="12" t="inlineStr">
        <is>
          <t>—</t>
        </is>
      </c>
      <c r="D36" s="12" t="inlineStr">
        <is>
          <t>증기 배출(에탄올·향 작업)</t>
        </is>
      </c>
      <c r="E36" s="14" t="inlineStr">
        <is>
          <t>필수</t>
        </is>
      </c>
      <c r="F36" s="12" t="inlineStr"/>
    </row>
  </sheetData>
  <mergeCells count="2">
    <mergeCell ref="A2:F2"/>
    <mergeCell ref="A1:F1"/>
  </mergeCells>
  <dataValidations count="1">
    <dataValidation sqref="E4:E36" showDropDown="0" showInputMessage="0" showErrorMessage="0" allowBlank="1" type="list">
      <formula1>"보유,추천,소모품,필수,미보유"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6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20" customWidth="1" min="2" max="2"/>
    <col width="9" customWidth="1" min="3" max="3"/>
    <col width="10" customWidth="1" min="4" max="4"/>
    <col width="22" customWidth="1" min="5" max="5"/>
    <col width="34" customWidth="1" min="6" max="6"/>
  </cols>
  <sheetData>
    <row r="1" ht="30" customHeight="1">
      <c r="A1" s="1" t="inlineStr">
        <is>
          <t>입출고 — 사면 '구매', 버리면 '조정(음수)'. 한 줄씩 쌓기</t>
        </is>
      </c>
    </row>
    <row r="2" ht="58" customHeight="1">
      <c r="A2" s="21" t="inlineStr">
        <is>
          <t>원료를 사거나(구매) 버릴 때(조정) 한 줄씩 쌓는 장부. 여기 적으면 '원료' 시트의 현재고가 자동으로 오르내린다.   ┃ 컬럼: 날짜=기록일 · 원료=아래 칸 클릭해 드롭다운 선택 · 구분=구매 또는 조정 · 수량g=구매는 +, 흘림·폐기는 −(음수)로 · 출처·단가=어디서 얼마에 · 메모=로트·개봉일 등</t>
        </is>
      </c>
    </row>
    <row r="3">
      <c r="A3" s="10" t="inlineStr">
        <is>
          <t>날짜</t>
        </is>
      </c>
      <c r="B3" s="10" t="inlineStr">
        <is>
          <t>원료</t>
        </is>
      </c>
      <c r="C3" s="10" t="inlineStr">
        <is>
          <t>구분</t>
        </is>
      </c>
      <c r="D3" s="10" t="inlineStr">
        <is>
          <t>수량g</t>
        </is>
      </c>
      <c r="E3" s="10" t="inlineStr">
        <is>
          <t>출처·단가</t>
        </is>
      </c>
      <c r="F3" s="10" t="inlineStr">
        <is>
          <t>메모</t>
        </is>
      </c>
    </row>
    <row r="4">
      <c r="A4" s="22" t="n"/>
      <c r="B4" s="22" t="n"/>
      <c r="C4" s="22" t="n"/>
      <c r="D4" s="22" t="n"/>
      <c r="E4" s="22" t="n"/>
      <c r="F4" s="22" t="n"/>
    </row>
    <row r="5">
      <c r="A5" s="22" t="n"/>
      <c r="B5" s="22" t="n"/>
      <c r="C5" s="22" t="n"/>
      <c r="D5" s="22" t="n"/>
      <c r="E5" s="22" t="n"/>
      <c r="F5" s="22" t="n"/>
    </row>
    <row r="6">
      <c r="A6" s="22" t="n"/>
      <c r="B6" s="22" t="n"/>
      <c r="C6" s="22" t="n"/>
      <c r="D6" s="22" t="n"/>
      <c r="E6" s="22" t="n"/>
      <c r="F6" s="22" t="n"/>
    </row>
    <row r="7">
      <c r="A7" s="22" t="n"/>
      <c r="B7" s="22" t="n"/>
      <c r="C7" s="22" t="n"/>
      <c r="D7" s="22" t="n"/>
      <c r="E7" s="22" t="n"/>
      <c r="F7" s="22" t="n"/>
    </row>
    <row r="8">
      <c r="A8" s="22" t="n"/>
      <c r="B8" s="22" t="n"/>
      <c r="C8" s="22" t="n"/>
      <c r="D8" s="22" t="n"/>
      <c r="E8" s="22" t="n"/>
      <c r="F8" s="22" t="n"/>
    </row>
    <row r="9">
      <c r="A9" s="22" t="n"/>
      <c r="B9" s="22" t="n"/>
      <c r="C9" s="22" t="n"/>
      <c r="D9" s="22" t="n"/>
      <c r="E9" s="22" t="n"/>
      <c r="F9" s="22" t="n"/>
    </row>
    <row r="10">
      <c r="A10" s="22" t="n"/>
      <c r="B10" s="22" t="n"/>
      <c r="C10" s="22" t="n"/>
      <c r="D10" s="22" t="n"/>
      <c r="E10" s="22" t="n"/>
      <c r="F10" s="22" t="n"/>
    </row>
    <row r="11">
      <c r="A11" s="22" t="n"/>
      <c r="B11" s="22" t="n"/>
      <c r="C11" s="22" t="n"/>
      <c r="D11" s="22" t="n"/>
      <c r="E11" s="22" t="n"/>
      <c r="F11" s="22" t="n"/>
    </row>
    <row r="12">
      <c r="A12" s="22" t="n"/>
      <c r="B12" s="22" t="n"/>
      <c r="C12" s="22" t="n"/>
      <c r="D12" s="22" t="n"/>
      <c r="E12" s="22" t="n"/>
      <c r="F12" s="22" t="n"/>
    </row>
    <row r="13">
      <c r="A13" s="22" t="n"/>
      <c r="B13" s="22" t="n"/>
      <c r="C13" s="22" t="n"/>
      <c r="D13" s="22" t="n"/>
      <c r="E13" s="22" t="n"/>
      <c r="F13" s="22" t="n"/>
    </row>
    <row r="14">
      <c r="A14" s="22" t="n"/>
      <c r="B14" s="22" t="n"/>
      <c r="C14" s="22" t="n"/>
      <c r="D14" s="22" t="n"/>
      <c r="E14" s="22" t="n"/>
      <c r="F14" s="22" t="n"/>
    </row>
    <row r="15">
      <c r="A15" s="22" t="n"/>
      <c r="B15" s="22" t="n"/>
      <c r="C15" s="22" t="n"/>
      <c r="D15" s="22" t="n"/>
      <c r="E15" s="22" t="n"/>
      <c r="F15" s="22" t="n"/>
    </row>
    <row r="16">
      <c r="A16" s="22" t="n"/>
      <c r="B16" s="22" t="n"/>
      <c r="C16" s="22" t="n"/>
      <c r="D16" s="22" t="n"/>
      <c r="E16" s="22" t="n"/>
      <c r="F16" s="22" t="n"/>
    </row>
    <row r="17">
      <c r="A17" s="22" t="n"/>
      <c r="B17" s="22" t="n"/>
      <c r="C17" s="22" t="n"/>
      <c r="D17" s="22" t="n"/>
      <c r="E17" s="22" t="n"/>
      <c r="F17" s="22" t="n"/>
    </row>
    <row r="18">
      <c r="A18" s="22" t="n"/>
      <c r="B18" s="22" t="n"/>
      <c r="C18" s="22" t="n"/>
      <c r="D18" s="22" t="n"/>
      <c r="E18" s="22" t="n"/>
      <c r="F18" s="22" t="n"/>
    </row>
    <row r="19">
      <c r="A19" s="22" t="n"/>
      <c r="B19" s="22" t="n"/>
      <c r="C19" s="22" t="n"/>
      <c r="D19" s="22" t="n"/>
      <c r="E19" s="22" t="n"/>
      <c r="F19" s="22" t="n"/>
    </row>
    <row r="20">
      <c r="A20" s="22" t="n"/>
      <c r="B20" s="22" t="n"/>
      <c r="C20" s="22" t="n"/>
      <c r="D20" s="22" t="n"/>
      <c r="E20" s="22" t="n"/>
      <c r="F20" s="22" t="n"/>
    </row>
    <row r="21">
      <c r="A21" s="22" t="n"/>
      <c r="B21" s="22" t="n"/>
      <c r="C21" s="22" t="n"/>
      <c r="D21" s="22" t="n"/>
      <c r="E21" s="22" t="n"/>
      <c r="F21" s="22" t="n"/>
    </row>
    <row r="22">
      <c r="A22" s="22" t="n"/>
      <c r="B22" s="22" t="n"/>
      <c r="C22" s="22" t="n"/>
      <c r="D22" s="22" t="n"/>
      <c r="E22" s="22" t="n"/>
      <c r="F22" s="22" t="n"/>
    </row>
    <row r="23">
      <c r="A23" s="22" t="n"/>
      <c r="B23" s="22" t="n"/>
      <c r="C23" s="22" t="n"/>
      <c r="D23" s="22" t="n"/>
      <c r="E23" s="22" t="n"/>
      <c r="F23" s="22" t="n"/>
    </row>
    <row r="24">
      <c r="A24" s="22" t="n"/>
      <c r="B24" s="22" t="n"/>
      <c r="C24" s="22" t="n"/>
      <c r="D24" s="22" t="n"/>
      <c r="E24" s="22" t="n"/>
      <c r="F24" s="22" t="n"/>
    </row>
    <row r="25">
      <c r="A25" s="22" t="n"/>
      <c r="B25" s="22" t="n"/>
      <c r="C25" s="22" t="n"/>
      <c r="D25" s="22" t="n"/>
      <c r="E25" s="22" t="n"/>
      <c r="F25" s="22" t="n"/>
    </row>
    <row r="26">
      <c r="A26" s="22" t="n"/>
      <c r="B26" s="22" t="n"/>
      <c r="C26" s="22" t="n"/>
      <c r="D26" s="22" t="n"/>
      <c r="E26" s="22" t="n"/>
      <c r="F26" s="22" t="n"/>
    </row>
    <row r="27">
      <c r="A27" s="22" t="n"/>
      <c r="B27" s="22" t="n"/>
      <c r="C27" s="22" t="n"/>
      <c r="D27" s="22" t="n"/>
      <c r="E27" s="22" t="n"/>
      <c r="F27" s="22" t="n"/>
    </row>
    <row r="28">
      <c r="A28" s="22" t="n"/>
      <c r="B28" s="22" t="n"/>
      <c r="C28" s="22" t="n"/>
      <c r="D28" s="22" t="n"/>
      <c r="E28" s="22" t="n"/>
      <c r="F28" s="22" t="n"/>
    </row>
    <row r="29">
      <c r="A29" s="22" t="n"/>
      <c r="B29" s="22" t="n"/>
      <c r="C29" s="22" t="n"/>
      <c r="D29" s="22" t="n"/>
      <c r="E29" s="22" t="n"/>
      <c r="F29" s="22" t="n"/>
    </row>
    <row r="30">
      <c r="A30" s="22" t="n"/>
      <c r="B30" s="22" t="n"/>
      <c r="C30" s="22" t="n"/>
      <c r="D30" s="22" t="n"/>
      <c r="E30" s="22" t="n"/>
      <c r="F30" s="22" t="n"/>
    </row>
    <row r="31">
      <c r="A31" s="22" t="n"/>
      <c r="B31" s="22" t="n"/>
      <c r="C31" s="22" t="n"/>
      <c r="D31" s="22" t="n"/>
      <c r="E31" s="22" t="n"/>
      <c r="F31" s="22" t="n"/>
    </row>
    <row r="32">
      <c r="A32" s="22" t="n"/>
      <c r="B32" s="22" t="n"/>
      <c r="C32" s="22" t="n"/>
      <c r="D32" s="22" t="n"/>
      <c r="E32" s="22" t="n"/>
      <c r="F32" s="22" t="n"/>
    </row>
    <row r="33">
      <c r="A33" s="22" t="n"/>
      <c r="B33" s="22" t="n"/>
      <c r="C33" s="22" t="n"/>
      <c r="D33" s="22" t="n"/>
      <c r="E33" s="22" t="n"/>
      <c r="F33" s="22" t="n"/>
    </row>
    <row r="34">
      <c r="A34" s="22" t="n"/>
      <c r="B34" s="22" t="n"/>
      <c r="C34" s="22" t="n"/>
      <c r="D34" s="22" t="n"/>
      <c r="E34" s="22" t="n"/>
      <c r="F34" s="22" t="n"/>
    </row>
    <row r="35">
      <c r="A35" s="22" t="n"/>
      <c r="B35" s="22" t="n"/>
      <c r="C35" s="22" t="n"/>
      <c r="D35" s="22" t="n"/>
      <c r="E35" s="22" t="n"/>
      <c r="F35" s="22" t="n"/>
    </row>
    <row r="36">
      <c r="A36" s="22" t="n"/>
      <c r="B36" s="22" t="n"/>
      <c r="C36" s="22" t="n"/>
      <c r="D36" s="22" t="n"/>
      <c r="E36" s="22" t="n"/>
      <c r="F36" s="22" t="n"/>
    </row>
    <row r="37">
      <c r="A37" s="22" t="n"/>
      <c r="B37" s="22" t="n"/>
      <c r="C37" s="22" t="n"/>
      <c r="D37" s="22" t="n"/>
      <c r="E37" s="22" t="n"/>
      <c r="F37" s="22" t="n"/>
    </row>
    <row r="38">
      <c r="A38" s="22" t="n"/>
      <c r="B38" s="22" t="n"/>
      <c r="C38" s="22" t="n"/>
      <c r="D38" s="22" t="n"/>
      <c r="E38" s="22" t="n"/>
      <c r="F38" s="22" t="n"/>
    </row>
    <row r="39">
      <c r="A39" s="22" t="n"/>
      <c r="B39" s="22" t="n"/>
      <c r="C39" s="22" t="n"/>
      <c r="D39" s="22" t="n"/>
      <c r="E39" s="22" t="n"/>
      <c r="F39" s="22" t="n"/>
    </row>
    <row r="40">
      <c r="A40" s="22" t="n"/>
      <c r="B40" s="22" t="n"/>
      <c r="C40" s="22" t="n"/>
      <c r="D40" s="22" t="n"/>
      <c r="E40" s="22" t="n"/>
      <c r="F40" s="22" t="n"/>
    </row>
    <row r="41">
      <c r="A41" s="22" t="n"/>
      <c r="B41" s="22" t="n"/>
      <c r="C41" s="22" t="n"/>
      <c r="D41" s="22" t="n"/>
      <c r="E41" s="22" t="n"/>
      <c r="F41" s="22" t="n"/>
    </row>
    <row r="42">
      <c r="A42" s="22" t="n"/>
      <c r="B42" s="22" t="n"/>
      <c r="C42" s="22" t="n"/>
      <c r="D42" s="22" t="n"/>
      <c r="E42" s="22" t="n"/>
      <c r="F42" s="22" t="n"/>
    </row>
    <row r="43">
      <c r="A43" s="22" t="n"/>
      <c r="B43" s="22" t="n"/>
      <c r="C43" s="22" t="n"/>
      <c r="D43" s="22" t="n"/>
      <c r="E43" s="22" t="n"/>
      <c r="F43" s="22" t="n"/>
    </row>
    <row r="44">
      <c r="A44" s="22" t="n"/>
      <c r="B44" s="22" t="n"/>
      <c r="C44" s="22" t="n"/>
      <c r="D44" s="22" t="n"/>
      <c r="E44" s="22" t="n"/>
      <c r="F44" s="22" t="n"/>
    </row>
    <row r="45">
      <c r="A45" s="22" t="n"/>
      <c r="B45" s="22" t="n"/>
      <c r="C45" s="22" t="n"/>
      <c r="D45" s="22" t="n"/>
      <c r="E45" s="22" t="n"/>
      <c r="F45" s="22" t="n"/>
    </row>
    <row r="46">
      <c r="A46" s="22" t="n"/>
      <c r="B46" s="22" t="n"/>
      <c r="C46" s="22" t="n"/>
      <c r="D46" s="22" t="n"/>
      <c r="E46" s="22" t="n"/>
      <c r="F46" s="22" t="n"/>
    </row>
    <row r="47">
      <c r="A47" s="22" t="n"/>
      <c r="B47" s="22" t="n"/>
      <c r="C47" s="22" t="n"/>
      <c r="D47" s="22" t="n"/>
      <c r="E47" s="22" t="n"/>
      <c r="F47" s="22" t="n"/>
    </row>
    <row r="48">
      <c r="A48" s="22" t="n"/>
      <c r="B48" s="22" t="n"/>
      <c r="C48" s="22" t="n"/>
      <c r="D48" s="22" t="n"/>
      <c r="E48" s="22" t="n"/>
      <c r="F48" s="22" t="n"/>
    </row>
    <row r="49">
      <c r="A49" s="22" t="n"/>
      <c r="B49" s="22" t="n"/>
      <c r="C49" s="22" t="n"/>
      <c r="D49" s="22" t="n"/>
      <c r="E49" s="22" t="n"/>
      <c r="F49" s="22" t="n"/>
    </row>
    <row r="50">
      <c r="A50" s="22" t="n"/>
      <c r="B50" s="22" t="n"/>
      <c r="C50" s="22" t="n"/>
      <c r="D50" s="22" t="n"/>
      <c r="E50" s="22" t="n"/>
      <c r="F50" s="22" t="n"/>
    </row>
    <row r="51">
      <c r="A51" s="22" t="n"/>
      <c r="B51" s="22" t="n"/>
      <c r="C51" s="22" t="n"/>
      <c r="D51" s="22" t="n"/>
      <c r="E51" s="22" t="n"/>
      <c r="F51" s="22" t="n"/>
    </row>
    <row r="52">
      <c r="A52" s="22" t="n"/>
      <c r="B52" s="22" t="n"/>
      <c r="C52" s="22" t="n"/>
      <c r="D52" s="22" t="n"/>
      <c r="E52" s="22" t="n"/>
      <c r="F52" s="22" t="n"/>
    </row>
    <row r="53">
      <c r="A53" s="22" t="n"/>
      <c r="B53" s="22" t="n"/>
      <c r="C53" s="22" t="n"/>
      <c r="D53" s="22" t="n"/>
      <c r="E53" s="22" t="n"/>
      <c r="F53" s="22" t="n"/>
    </row>
    <row r="54">
      <c r="A54" s="22" t="n"/>
      <c r="B54" s="22" t="n"/>
      <c r="C54" s="22" t="n"/>
      <c r="D54" s="22" t="n"/>
      <c r="E54" s="22" t="n"/>
      <c r="F54" s="22" t="n"/>
    </row>
    <row r="55">
      <c r="A55" s="22" t="n"/>
      <c r="B55" s="22" t="n"/>
      <c r="C55" s="22" t="n"/>
      <c r="D55" s="22" t="n"/>
      <c r="E55" s="22" t="n"/>
      <c r="F55" s="22" t="n"/>
    </row>
    <row r="56">
      <c r="A56" s="22" t="n"/>
      <c r="B56" s="22" t="n"/>
      <c r="C56" s="22" t="n"/>
      <c r="D56" s="22" t="n"/>
      <c r="E56" s="22" t="n"/>
      <c r="F56" s="22" t="n"/>
    </row>
    <row r="57">
      <c r="A57" s="22" t="n"/>
      <c r="B57" s="22" t="n"/>
      <c r="C57" s="22" t="n"/>
      <c r="D57" s="22" t="n"/>
      <c r="E57" s="22" t="n"/>
      <c r="F57" s="22" t="n"/>
    </row>
    <row r="58">
      <c r="A58" s="22" t="n"/>
      <c r="B58" s="22" t="n"/>
      <c r="C58" s="22" t="n"/>
      <c r="D58" s="22" t="n"/>
      <c r="E58" s="22" t="n"/>
      <c r="F58" s="22" t="n"/>
    </row>
    <row r="59">
      <c r="A59" s="22" t="n"/>
      <c r="B59" s="22" t="n"/>
      <c r="C59" s="22" t="n"/>
      <c r="D59" s="22" t="n"/>
      <c r="E59" s="22" t="n"/>
      <c r="F59" s="22" t="n"/>
    </row>
    <row r="60">
      <c r="A60" s="22" t="n"/>
      <c r="B60" s="22" t="n"/>
      <c r="C60" s="22" t="n"/>
      <c r="D60" s="22" t="n"/>
      <c r="E60" s="22" t="n"/>
      <c r="F60" s="22" t="n"/>
    </row>
    <row r="61">
      <c r="A61" s="22" t="n"/>
      <c r="B61" s="22" t="n"/>
      <c r="C61" s="22" t="n"/>
      <c r="D61" s="22" t="n"/>
      <c r="E61" s="22" t="n"/>
      <c r="F61" s="22" t="n"/>
    </row>
    <row r="62">
      <c r="A62" s="22" t="n"/>
      <c r="B62" s="22" t="n"/>
      <c r="C62" s="22" t="n"/>
      <c r="D62" s="22" t="n"/>
      <c r="E62" s="22" t="n"/>
      <c r="F62" s="22" t="n"/>
    </row>
    <row r="63">
      <c r="A63" s="22" t="n"/>
      <c r="B63" s="22" t="n"/>
      <c r="C63" s="22" t="n"/>
      <c r="D63" s="22" t="n"/>
      <c r="E63" s="22" t="n"/>
      <c r="F63" s="22" t="n"/>
    </row>
  </sheetData>
  <mergeCells count="2">
    <mergeCell ref="A2:F2"/>
    <mergeCell ref="A1:F1"/>
  </mergeCells>
  <dataValidations count="2">
    <dataValidation sqref="B4:B63" showDropDown="0" showInputMessage="0" showErrorMessage="0" allowBlank="1" type="list">
      <formula1>원료!$A$4:$A$29</formula1>
    </dataValidation>
    <dataValidation sqref="C4:C63" showDropDown="0" showInputMessage="0" showErrorMessage="0" allowBlank="1" type="list">
      <formula1>"구매,조정"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6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20" customWidth="1" min="2" max="2"/>
    <col width="9" customWidth="1" min="3" max="3"/>
    <col width="16" customWidth="1" min="4" max="4"/>
    <col width="24" customWidth="1" min="5" max="5"/>
    <col width="8" customWidth="1" min="6" max="6"/>
    <col width="8" customWidth="1" min="7" max="7"/>
    <col width="7" customWidth="1" min="8" max="8"/>
    <col width="20" customWidth="1" min="9" max="9"/>
    <col width="18" customWidth="1" min="10" max="10"/>
    <col width="10" customWidth="1" min="11" max="11"/>
    <col width="26" customWidth="1" min="12" max="12"/>
  </cols>
  <sheetData>
    <row r="1" ht="30" customHeight="1">
      <c r="A1" s="1" t="inlineStr">
        <is>
          <t>개발일지 — 제품+배치량g 적으면 재고 자동 차감 · 분리mm=원심 판정(LC-8S)</t>
        </is>
      </c>
    </row>
    <row r="2" ht="44" customHeight="1">
      <c r="A2" s="21" t="inlineStr">
        <is>
          <t>배치를 만들고 평가한 걸 한 줄씩 남기는 기록. '제품+배치량g'을 적으면 그 레시피대로 원료가 재고에서 자동 차감된다. 한 번에 한 가지만 바꾼다.   ┃ 컬럼: 제품=드롭다운 · 배치량g=만든 총량(재고 차감의 핵심) · 기준(base)=어느 버전에서 출발 · 바꾼것=이번에 바꾼 한 가지 · 유화ok=유화 성공(ok/실패) · 분리mm=원심(LC-8S) 분리층, 0이면 안정 · pH=측정값(5.0~5.5) · 판정=keeper/튜닝/접기(접은 것도 데이터)</t>
        </is>
      </c>
    </row>
    <row r="3">
      <c r="A3" s="10" t="inlineStr">
        <is>
          <t>날짜</t>
        </is>
      </c>
      <c r="B3" s="10" t="inlineStr">
        <is>
          <t>제품</t>
        </is>
      </c>
      <c r="C3" s="10" t="inlineStr">
        <is>
          <t>배치량g</t>
        </is>
      </c>
      <c r="D3" s="10" t="inlineStr">
        <is>
          <t>기준(base)</t>
        </is>
      </c>
      <c r="E3" s="10" t="inlineStr">
        <is>
          <t>바꾼것</t>
        </is>
      </c>
      <c r="F3" s="10" t="inlineStr">
        <is>
          <t>유화ok</t>
        </is>
      </c>
      <c r="G3" s="10" t="inlineStr">
        <is>
          <t>분리mm</t>
        </is>
      </c>
      <c r="H3" s="10" t="inlineStr">
        <is>
          <t>pH</t>
        </is>
      </c>
      <c r="I3" s="10" t="inlineStr">
        <is>
          <t>사용감</t>
        </is>
      </c>
      <c r="J3" s="10" t="inlineStr">
        <is>
          <t>이슈</t>
        </is>
      </c>
      <c r="K3" s="10" t="inlineStr">
        <is>
          <t>판정</t>
        </is>
      </c>
      <c r="L3" s="10" t="inlineStr">
        <is>
          <t>다음 아이디어</t>
        </is>
      </c>
    </row>
    <row r="4">
      <c r="A4" s="22" t="inlineStr">
        <is>
          <t>2026-09-07</t>
        </is>
      </c>
      <c r="B4" s="22" t="n"/>
      <c r="C4" s="22" t="n"/>
      <c r="D4" s="22" t="inlineStr">
        <is>
          <t>daily-lotion v2</t>
        </is>
      </c>
      <c r="E4" s="22" t="inlineStr">
        <is>
          <t>잔탄검 0.4→0.5 (점도 실험)</t>
        </is>
      </c>
      <c r="F4" s="22" t="inlineStr">
        <is>
          <t>ok</t>
        </is>
      </c>
      <c r="G4" s="22" t="n"/>
      <c r="H4" s="22" t="n">
        <v>5.2</v>
      </c>
      <c r="I4" s="22" t="inlineStr">
        <is>
          <t>약간 무거움</t>
        </is>
      </c>
      <c r="J4" s="22" t="inlineStr">
        <is>
          <t>스트링잉(실 늘어짐)</t>
        </is>
      </c>
      <c r="K4" s="22" t="inlineStr">
        <is>
          <t>접기</t>
        </is>
      </c>
      <c r="L4" s="22" t="inlineStr">
        <is>
          <t>잔탄 대신 스클레로튬검 시도</t>
        </is>
      </c>
    </row>
    <row r="5">
      <c r="A5" s="22" t="inlineStr">
        <is>
          <t>2026-09-07</t>
        </is>
      </c>
      <c r="B5" s="22" t="n"/>
      <c r="C5" s="22" t="n"/>
      <c r="D5" s="22" t="inlineStr">
        <is>
          <t>daily-lotion v2</t>
        </is>
      </c>
      <c r="E5" s="22" t="inlineStr">
        <is>
          <t>글리세린 5→3 + 베타인 2 추가</t>
        </is>
      </c>
      <c r="F5" s="22" t="inlineStr">
        <is>
          <t>ok</t>
        </is>
      </c>
      <c r="G5" s="22" t="n"/>
      <c r="H5" s="22" t="n">
        <v>5.1</v>
      </c>
      <c r="I5" s="22" t="inlineStr">
        <is>
          <t>산뜻·덜 끈적</t>
        </is>
      </c>
      <c r="J5" s="22" t="n"/>
      <c r="K5" s="22" t="inlineStr">
        <is>
          <t>keeper</t>
        </is>
      </c>
      <c r="L5" s="22" t="inlineStr">
        <is>
          <t>안정성 45C/RT 등록</t>
        </is>
      </c>
    </row>
    <row r="6">
      <c r="A6" s="22" t="n"/>
      <c r="B6" s="22" t="n"/>
      <c r="C6" s="22" t="n"/>
      <c r="D6" s="22" t="n"/>
      <c r="E6" s="22" t="n"/>
      <c r="F6" s="22" t="n"/>
      <c r="G6" s="22" t="n"/>
      <c r="H6" s="22" t="n"/>
      <c r="I6" s="22" t="n"/>
      <c r="J6" s="22" t="n"/>
      <c r="K6" s="22" t="n"/>
      <c r="L6" s="22" t="n"/>
    </row>
    <row r="7">
      <c r="A7" s="22" t="n"/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</row>
    <row r="8">
      <c r="A8" s="22" t="n"/>
      <c r="B8" s="22" t="n"/>
      <c r="C8" s="22" t="n"/>
      <c r="D8" s="22" t="n"/>
      <c r="E8" s="22" t="n"/>
      <c r="F8" s="22" t="n"/>
      <c r="G8" s="22" t="n"/>
      <c r="H8" s="22" t="n"/>
      <c r="I8" s="22" t="n"/>
      <c r="J8" s="22" t="n"/>
      <c r="K8" s="22" t="n"/>
      <c r="L8" s="22" t="n"/>
    </row>
    <row r="9">
      <c r="A9" s="22" t="n"/>
      <c r="B9" s="22" t="n"/>
      <c r="C9" s="22" t="n"/>
      <c r="D9" s="22" t="n"/>
      <c r="E9" s="22" t="n"/>
      <c r="F9" s="22" t="n"/>
      <c r="G9" s="22" t="n"/>
      <c r="H9" s="22" t="n"/>
      <c r="I9" s="22" t="n"/>
      <c r="J9" s="22" t="n"/>
      <c r="K9" s="22" t="n"/>
      <c r="L9" s="22" t="n"/>
    </row>
    <row r="10">
      <c r="A10" s="22" t="n"/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</row>
    <row r="11">
      <c r="A11" s="22" t="n"/>
      <c r="B11" s="22" t="n"/>
      <c r="C11" s="22" t="n"/>
      <c r="D11" s="22" t="n"/>
      <c r="E11" s="22" t="n"/>
      <c r="F11" s="22" t="n"/>
      <c r="G11" s="22" t="n"/>
      <c r="H11" s="22" t="n"/>
      <c r="I11" s="22" t="n"/>
      <c r="J11" s="22" t="n"/>
      <c r="K11" s="22" t="n"/>
      <c r="L11" s="22" t="n"/>
    </row>
    <row r="12">
      <c r="A12" s="22" t="n"/>
      <c r="B12" s="22" t="n"/>
      <c r="C12" s="22" t="n"/>
      <c r="D12" s="22" t="n"/>
      <c r="E12" s="22" t="n"/>
      <c r="F12" s="22" t="n"/>
      <c r="G12" s="22" t="n"/>
      <c r="H12" s="22" t="n"/>
      <c r="I12" s="22" t="n"/>
      <c r="J12" s="22" t="n"/>
      <c r="K12" s="22" t="n"/>
      <c r="L12" s="22" t="n"/>
    </row>
    <row r="13">
      <c r="A13" s="22" t="n"/>
      <c r="B13" s="22" t="n"/>
      <c r="C13" s="22" t="n"/>
      <c r="D13" s="22" t="n"/>
      <c r="E13" s="22" t="n"/>
      <c r="F13" s="22" t="n"/>
      <c r="G13" s="22" t="n"/>
      <c r="H13" s="22" t="n"/>
      <c r="I13" s="22" t="n"/>
      <c r="J13" s="22" t="n"/>
      <c r="K13" s="22" t="n"/>
      <c r="L13" s="22" t="n"/>
    </row>
    <row r="14">
      <c r="A14" s="22" t="n"/>
      <c r="B14" s="22" t="n"/>
      <c r="C14" s="22" t="n"/>
      <c r="D14" s="22" t="n"/>
      <c r="E14" s="22" t="n"/>
      <c r="F14" s="22" t="n"/>
      <c r="G14" s="22" t="n"/>
      <c r="H14" s="22" t="n"/>
      <c r="I14" s="22" t="n"/>
      <c r="J14" s="22" t="n"/>
      <c r="K14" s="22" t="n"/>
      <c r="L14" s="22" t="n"/>
    </row>
    <row r="15">
      <c r="A15" s="22" t="n"/>
      <c r="B15" s="22" t="n"/>
      <c r="C15" s="22" t="n"/>
      <c r="D15" s="22" t="n"/>
      <c r="E15" s="22" t="n"/>
      <c r="F15" s="22" t="n"/>
      <c r="G15" s="22" t="n"/>
      <c r="H15" s="22" t="n"/>
      <c r="I15" s="22" t="n"/>
      <c r="J15" s="22" t="n"/>
      <c r="K15" s="22" t="n"/>
      <c r="L15" s="22" t="n"/>
    </row>
    <row r="16">
      <c r="A16" s="22" t="n"/>
      <c r="B16" s="22" t="n"/>
      <c r="C16" s="22" t="n"/>
      <c r="D16" s="22" t="n"/>
      <c r="E16" s="22" t="n"/>
      <c r="F16" s="22" t="n"/>
      <c r="G16" s="22" t="n"/>
      <c r="H16" s="22" t="n"/>
      <c r="I16" s="22" t="n"/>
      <c r="J16" s="22" t="n"/>
      <c r="K16" s="22" t="n"/>
      <c r="L16" s="22" t="n"/>
    </row>
    <row r="17">
      <c r="A17" s="22" t="n"/>
      <c r="B17" s="22" t="n"/>
      <c r="C17" s="22" t="n"/>
      <c r="D17" s="22" t="n"/>
      <c r="E17" s="22" t="n"/>
      <c r="F17" s="22" t="n"/>
      <c r="G17" s="22" t="n"/>
      <c r="H17" s="22" t="n"/>
      <c r="I17" s="22" t="n"/>
      <c r="J17" s="22" t="n"/>
      <c r="K17" s="22" t="n"/>
      <c r="L17" s="22" t="n"/>
    </row>
    <row r="18">
      <c r="A18" s="22" t="n"/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  <c r="L18" s="22" t="n"/>
    </row>
    <row r="19">
      <c r="A19" s="22" t="n"/>
      <c r="B19" s="22" t="n"/>
      <c r="C19" s="22" t="n"/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</row>
    <row r="20">
      <c r="A20" s="22" t="n"/>
      <c r="B20" s="22" t="n"/>
      <c r="C20" s="22" t="n"/>
      <c r="D20" s="22" t="n"/>
      <c r="E20" s="22" t="n"/>
      <c r="F20" s="22" t="n"/>
      <c r="G20" s="22" t="n"/>
      <c r="H20" s="22" t="n"/>
      <c r="I20" s="22" t="n"/>
      <c r="J20" s="22" t="n"/>
      <c r="K20" s="22" t="n"/>
      <c r="L20" s="22" t="n"/>
    </row>
    <row r="21">
      <c r="A21" s="22" t="n"/>
      <c r="B21" s="22" t="n"/>
      <c r="C21" s="22" t="n"/>
      <c r="D21" s="22" t="n"/>
      <c r="E21" s="22" t="n"/>
      <c r="F21" s="22" t="n"/>
      <c r="G21" s="22" t="n"/>
      <c r="H21" s="22" t="n"/>
      <c r="I21" s="22" t="n"/>
      <c r="J21" s="22" t="n"/>
      <c r="K21" s="22" t="n"/>
      <c r="L21" s="22" t="n"/>
    </row>
    <row r="22">
      <c r="A22" s="22" t="n"/>
      <c r="B22" s="22" t="n"/>
      <c r="C22" s="22" t="n"/>
      <c r="D22" s="22" t="n"/>
      <c r="E22" s="22" t="n"/>
      <c r="F22" s="22" t="n"/>
      <c r="G22" s="22" t="n"/>
      <c r="H22" s="22" t="n"/>
      <c r="I22" s="22" t="n"/>
      <c r="J22" s="22" t="n"/>
      <c r="K22" s="22" t="n"/>
      <c r="L22" s="22" t="n"/>
    </row>
    <row r="23">
      <c r="A23" s="22" t="n"/>
      <c r="B23" s="22" t="n"/>
      <c r="C23" s="22" t="n"/>
      <c r="D23" s="22" t="n"/>
      <c r="E23" s="22" t="n"/>
      <c r="F23" s="22" t="n"/>
      <c r="G23" s="22" t="n"/>
      <c r="H23" s="22" t="n"/>
      <c r="I23" s="22" t="n"/>
      <c r="J23" s="22" t="n"/>
      <c r="K23" s="22" t="n"/>
      <c r="L23" s="22" t="n"/>
    </row>
    <row r="24">
      <c r="A24" s="22" t="n"/>
      <c r="B24" s="22" t="n"/>
      <c r="C24" s="22" t="n"/>
      <c r="D24" s="22" t="n"/>
      <c r="E24" s="22" t="n"/>
      <c r="F24" s="22" t="n"/>
      <c r="G24" s="22" t="n"/>
      <c r="H24" s="22" t="n"/>
      <c r="I24" s="22" t="n"/>
      <c r="J24" s="22" t="n"/>
      <c r="K24" s="22" t="n"/>
      <c r="L24" s="22" t="n"/>
    </row>
    <row r="25">
      <c r="A25" s="22" t="n"/>
      <c r="B25" s="22" t="n"/>
      <c r="C25" s="22" t="n"/>
      <c r="D25" s="22" t="n"/>
      <c r="E25" s="22" t="n"/>
      <c r="F25" s="22" t="n"/>
      <c r="G25" s="22" t="n"/>
      <c r="H25" s="22" t="n"/>
      <c r="I25" s="22" t="n"/>
      <c r="J25" s="22" t="n"/>
      <c r="K25" s="22" t="n"/>
      <c r="L25" s="22" t="n"/>
    </row>
    <row r="26">
      <c r="A26" s="22" t="n"/>
      <c r="B26" s="22" t="n"/>
      <c r="C26" s="22" t="n"/>
      <c r="D26" s="22" t="n"/>
      <c r="E26" s="22" t="n"/>
      <c r="F26" s="22" t="n"/>
      <c r="G26" s="22" t="n"/>
      <c r="H26" s="22" t="n"/>
      <c r="I26" s="22" t="n"/>
      <c r="J26" s="22" t="n"/>
      <c r="K26" s="22" t="n"/>
      <c r="L26" s="22" t="n"/>
    </row>
    <row r="27">
      <c r="A27" s="22" t="n"/>
      <c r="B27" s="22" t="n"/>
      <c r="C27" s="22" t="n"/>
      <c r="D27" s="22" t="n"/>
      <c r="E27" s="22" t="n"/>
      <c r="F27" s="22" t="n"/>
      <c r="G27" s="22" t="n"/>
      <c r="H27" s="22" t="n"/>
      <c r="I27" s="22" t="n"/>
      <c r="J27" s="22" t="n"/>
      <c r="K27" s="22" t="n"/>
      <c r="L27" s="22" t="n"/>
    </row>
    <row r="28">
      <c r="A28" s="22" t="n"/>
      <c r="B28" s="22" t="n"/>
      <c r="C28" s="22" t="n"/>
      <c r="D28" s="22" t="n"/>
      <c r="E28" s="22" t="n"/>
      <c r="F28" s="22" t="n"/>
      <c r="G28" s="22" t="n"/>
      <c r="H28" s="22" t="n"/>
      <c r="I28" s="22" t="n"/>
      <c r="J28" s="22" t="n"/>
      <c r="K28" s="22" t="n"/>
      <c r="L28" s="22" t="n"/>
    </row>
    <row r="29">
      <c r="A29" s="22" t="n"/>
      <c r="B29" s="22" t="n"/>
      <c r="C29" s="22" t="n"/>
      <c r="D29" s="22" t="n"/>
      <c r="E29" s="22" t="n"/>
      <c r="F29" s="22" t="n"/>
      <c r="G29" s="22" t="n"/>
      <c r="H29" s="22" t="n"/>
      <c r="I29" s="22" t="n"/>
      <c r="J29" s="22" t="n"/>
      <c r="K29" s="22" t="n"/>
      <c r="L29" s="22" t="n"/>
    </row>
    <row r="30">
      <c r="A30" s="22" t="n"/>
      <c r="B30" s="22" t="n"/>
      <c r="C30" s="22" t="n"/>
      <c r="D30" s="22" t="n"/>
      <c r="E30" s="22" t="n"/>
      <c r="F30" s="22" t="n"/>
      <c r="G30" s="22" t="n"/>
      <c r="H30" s="22" t="n"/>
      <c r="I30" s="22" t="n"/>
      <c r="J30" s="22" t="n"/>
      <c r="K30" s="22" t="n"/>
      <c r="L30" s="22" t="n"/>
    </row>
    <row r="31">
      <c r="A31" s="22" t="n"/>
      <c r="B31" s="22" t="n"/>
      <c r="C31" s="22" t="n"/>
      <c r="D31" s="22" t="n"/>
      <c r="E31" s="22" t="n"/>
      <c r="F31" s="22" t="n"/>
      <c r="G31" s="22" t="n"/>
      <c r="H31" s="22" t="n"/>
      <c r="I31" s="22" t="n"/>
      <c r="J31" s="22" t="n"/>
      <c r="K31" s="22" t="n"/>
      <c r="L31" s="22" t="n"/>
    </row>
    <row r="32">
      <c r="A32" s="22" t="n"/>
      <c r="B32" s="22" t="n"/>
      <c r="C32" s="22" t="n"/>
      <c r="D32" s="22" t="n"/>
      <c r="E32" s="22" t="n"/>
      <c r="F32" s="22" t="n"/>
      <c r="G32" s="22" t="n"/>
      <c r="H32" s="22" t="n"/>
      <c r="I32" s="22" t="n"/>
      <c r="J32" s="22" t="n"/>
      <c r="K32" s="22" t="n"/>
      <c r="L32" s="22" t="n"/>
    </row>
    <row r="33">
      <c r="A33" s="22" t="n"/>
      <c r="B33" s="22" t="n"/>
      <c r="C33" s="22" t="n"/>
      <c r="D33" s="22" t="n"/>
      <c r="E33" s="22" t="n"/>
      <c r="F33" s="22" t="n"/>
      <c r="G33" s="22" t="n"/>
      <c r="H33" s="22" t="n"/>
      <c r="I33" s="22" t="n"/>
      <c r="J33" s="22" t="n"/>
      <c r="K33" s="22" t="n"/>
      <c r="L33" s="22" t="n"/>
    </row>
    <row r="34">
      <c r="A34" s="22" t="n"/>
      <c r="B34" s="22" t="n"/>
      <c r="C34" s="22" t="n"/>
      <c r="D34" s="22" t="n"/>
      <c r="E34" s="22" t="n"/>
      <c r="F34" s="22" t="n"/>
      <c r="G34" s="22" t="n"/>
      <c r="H34" s="22" t="n"/>
      <c r="I34" s="22" t="n"/>
      <c r="J34" s="22" t="n"/>
      <c r="K34" s="22" t="n"/>
      <c r="L34" s="22" t="n"/>
    </row>
    <row r="35">
      <c r="A35" s="22" t="n"/>
      <c r="B35" s="22" t="n"/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</row>
    <row r="36">
      <c r="A36" s="22" t="n"/>
      <c r="B36" s="22" t="n"/>
      <c r="C36" s="22" t="n"/>
      <c r="D36" s="22" t="n"/>
      <c r="E36" s="22" t="n"/>
      <c r="F36" s="22" t="n"/>
      <c r="G36" s="22" t="n"/>
      <c r="H36" s="22" t="n"/>
      <c r="I36" s="22" t="n"/>
      <c r="J36" s="22" t="n"/>
      <c r="K36" s="22" t="n"/>
      <c r="L36" s="22" t="n"/>
    </row>
    <row r="37">
      <c r="A37" s="22" t="n"/>
      <c r="B37" s="22" t="n"/>
      <c r="C37" s="22" t="n"/>
      <c r="D37" s="22" t="n"/>
      <c r="E37" s="22" t="n"/>
      <c r="F37" s="22" t="n"/>
      <c r="G37" s="22" t="n"/>
      <c r="H37" s="22" t="n"/>
      <c r="I37" s="22" t="n"/>
      <c r="J37" s="22" t="n"/>
      <c r="K37" s="22" t="n"/>
      <c r="L37" s="22" t="n"/>
    </row>
    <row r="38">
      <c r="A38" s="22" t="n"/>
      <c r="B38" s="22" t="n"/>
      <c r="C38" s="22" t="n"/>
      <c r="D38" s="22" t="n"/>
      <c r="E38" s="22" t="n"/>
      <c r="F38" s="22" t="n"/>
      <c r="G38" s="22" t="n"/>
      <c r="H38" s="22" t="n"/>
      <c r="I38" s="22" t="n"/>
      <c r="J38" s="22" t="n"/>
      <c r="K38" s="22" t="n"/>
      <c r="L38" s="22" t="n"/>
    </row>
    <row r="39">
      <c r="A39" s="22" t="n"/>
      <c r="B39" s="22" t="n"/>
      <c r="C39" s="22" t="n"/>
      <c r="D39" s="22" t="n"/>
      <c r="E39" s="22" t="n"/>
      <c r="F39" s="22" t="n"/>
      <c r="G39" s="22" t="n"/>
      <c r="H39" s="22" t="n"/>
      <c r="I39" s="22" t="n"/>
      <c r="J39" s="22" t="n"/>
      <c r="K39" s="22" t="n"/>
      <c r="L39" s="22" t="n"/>
    </row>
    <row r="40">
      <c r="A40" s="22" t="n"/>
      <c r="B40" s="22" t="n"/>
      <c r="C40" s="22" t="n"/>
      <c r="D40" s="22" t="n"/>
      <c r="E40" s="22" t="n"/>
      <c r="F40" s="22" t="n"/>
      <c r="G40" s="22" t="n"/>
      <c r="H40" s="22" t="n"/>
      <c r="I40" s="22" t="n"/>
      <c r="J40" s="22" t="n"/>
      <c r="K40" s="22" t="n"/>
      <c r="L40" s="22" t="n"/>
    </row>
    <row r="41">
      <c r="A41" s="22" t="n"/>
      <c r="B41" s="22" t="n"/>
      <c r="C41" s="22" t="n"/>
      <c r="D41" s="22" t="n"/>
      <c r="E41" s="22" t="n"/>
      <c r="F41" s="22" t="n"/>
      <c r="G41" s="22" t="n"/>
      <c r="H41" s="22" t="n"/>
      <c r="I41" s="22" t="n"/>
      <c r="J41" s="22" t="n"/>
      <c r="K41" s="22" t="n"/>
      <c r="L41" s="22" t="n"/>
    </row>
    <row r="42">
      <c r="A42" s="22" t="n"/>
      <c r="B42" s="22" t="n"/>
      <c r="C42" s="22" t="n"/>
      <c r="D42" s="22" t="n"/>
      <c r="E42" s="22" t="n"/>
      <c r="F42" s="22" t="n"/>
      <c r="G42" s="22" t="n"/>
      <c r="H42" s="22" t="n"/>
      <c r="I42" s="22" t="n"/>
      <c r="J42" s="22" t="n"/>
      <c r="K42" s="22" t="n"/>
      <c r="L42" s="22" t="n"/>
    </row>
    <row r="43">
      <c r="A43" s="22" t="n"/>
      <c r="B43" s="22" t="n"/>
      <c r="C43" s="22" t="n"/>
      <c r="D43" s="22" t="n"/>
      <c r="E43" s="22" t="n"/>
      <c r="F43" s="22" t="n"/>
      <c r="G43" s="22" t="n"/>
      <c r="H43" s="22" t="n"/>
      <c r="I43" s="22" t="n"/>
      <c r="J43" s="22" t="n"/>
      <c r="K43" s="22" t="n"/>
      <c r="L43" s="22" t="n"/>
    </row>
    <row r="44">
      <c r="A44" s="22" t="n"/>
      <c r="B44" s="22" t="n"/>
      <c r="C44" s="22" t="n"/>
      <c r="D44" s="22" t="n"/>
      <c r="E44" s="22" t="n"/>
      <c r="F44" s="22" t="n"/>
      <c r="G44" s="22" t="n"/>
      <c r="H44" s="22" t="n"/>
      <c r="I44" s="22" t="n"/>
      <c r="J44" s="22" t="n"/>
      <c r="K44" s="22" t="n"/>
      <c r="L44" s="22" t="n"/>
    </row>
    <row r="45">
      <c r="A45" s="22" t="n"/>
      <c r="B45" s="22" t="n"/>
      <c r="C45" s="22" t="n"/>
      <c r="D45" s="22" t="n"/>
      <c r="E45" s="22" t="n"/>
      <c r="F45" s="22" t="n"/>
      <c r="G45" s="22" t="n"/>
      <c r="H45" s="22" t="n"/>
      <c r="I45" s="22" t="n"/>
      <c r="J45" s="22" t="n"/>
      <c r="K45" s="22" t="n"/>
      <c r="L45" s="22" t="n"/>
    </row>
    <row r="46">
      <c r="A46" s="22" t="n"/>
      <c r="B46" s="22" t="n"/>
      <c r="C46" s="22" t="n"/>
      <c r="D46" s="22" t="n"/>
      <c r="E46" s="22" t="n"/>
      <c r="F46" s="22" t="n"/>
      <c r="G46" s="22" t="n"/>
      <c r="H46" s="22" t="n"/>
      <c r="I46" s="22" t="n"/>
      <c r="J46" s="22" t="n"/>
      <c r="K46" s="22" t="n"/>
      <c r="L46" s="22" t="n"/>
    </row>
    <row r="47">
      <c r="A47" s="22" t="n"/>
      <c r="B47" s="22" t="n"/>
      <c r="C47" s="22" t="n"/>
      <c r="D47" s="22" t="n"/>
      <c r="E47" s="22" t="n"/>
      <c r="F47" s="22" t="n"/>
      <c r="G47" s="22" t="n"/>
      <c r="H47" s="22" t="n"/>
      <c r="I47" s="22" t="n"/>
      <c r="J47" s="22" t="n"/>
      <c r="K47" s="22" t="n"/>
      <c r="L47" s="22" t="n"/>
    </row>
    <row r="48">
      <c r="A48" s="22" t="n"/>
      <c r="B48" s="22" t="n"/>
      <c r="C48" s="22" t="n"/>
      <c r="D48" s="22" t="n"/>
      <c r="E48" s="22" t="n"/>
      <c r="F48" s="22" t="n"/>
      <c r="G48" s="22" t="n"/>
      <c r="H48" s="22" t="n"/>
      <c r="I48" s="22" t="n"/>
      <c r="J48" s="22" t="n"/>
      <c r="K48" s="22" t="n"/>
      <c r="L48" s="22" t="n"/>
    </row>
    <row r="49">
      <c r="A49" s="22" t="n"/>
      <c r="B49" s="22" t="n"/>
      <c r="C49" s="22" t="n"/>
      <c r="D49" s="22" t="n"/>
      <c r="E49" s="22" t="n"/>
      <c r="F49" s="22" t="n"/>
      <c r="G49" s="22" t="n"/>
      <c r="H49" s="22" t="n"/>
      <c r="I49" s="22" t="n"/>
      <c r="J49" s="22" t="n"/>
      <c r="K49" s="22" t="n"/>
      <c r="L49" s="22" t="n"/>
    </row>
    <row r="50">
      <c r="A50" s="22" t="n"/>
      <c r="B50" s="22" t="n"/>
      <c r="C50" s="22" t="n"/>
      <c r="D50" s="22" t="n"/>
      <c r="E50" s="22" t="n"/>
      <c r="F50" s="22" t="n"/>
      <c r="G50" s="22" t="n"/>
      <c r="H50" s="22" t="n"/>
      <c r="I50" s="22" t="n"/>
      <c r="J50" s="22" t="n"/>
      <c r="K50" s="22" t="n"/>
      <c r="L50" s="22" t="n"/>
    </row>
    <row r="51">
      <c r="A51" s="22" t="n"/>
      <c r="B51" s="22" t="n"/>
      <c r="C51" s="22" t="n"/>
      <c r="D51" s="22" t="n"/>
      <c r="E51" s="22" t="n"/>
      <c r="F51" s="22" t="n"/>
      <c r="G51" s="22" t="n"/>
      <c r="H51" s="22" t="n"/>
      <c r="I51" s="22" t="n"/>
      <c r="J51" s="22" t="n"/>
      <c r="K51" s="22" t="n"/>
      <c r="L51" s="22" t="n"/>
    </row>
    <row r="52">
      <c r="A52" s="22" t="n"/>
      <c r="B52" s="22" t="n"/>
      <c r="C52" s="22" t="n"/>
      <c r="D52" s="22" t="n"/>
      <c r="E52" s="22" t="n"/>
      <c r="F52" s="22" t="n"/>
      <c r="G52" s="22" t="n"/>
      <c r="H52" s="22" t="n"/>
      <c r="I52" s="22" t="n"/>
      <c r="J52" s="22" t="n"/>
      <c r="K52" s="22" t="n"/>
      <c r="L52" s="22" t="n"/>
    </row>
    <row r="53">
      <c r="A53" s="22" t="n"/>
      <c r="B53" s="22" t="n"/>
      <c r="C53" s="22" t="n"/>
      <c r="D53" s="22" t="n"/>
      <c r="E53" s="22" t="n"/>
      <c r="F53" s="22" t="n"/>
      <c r="G53" s="22" t="n"/>
      <c r="H53" s="22" t="n"/>
      <c r="I53" s="22" t="n"/>
      <c r="J53" s="22" t="n"/>
      <c r="K53" s="22" t="n"/>
      <c r="L53" s="22" t="n"/>
    </row>
    <row r="54">
      <c r="A54" s="22" t="n"/>
      <c r="B54" s="22" t="n"/>
      <c r="C54" s="22" t="n"/>
      <c r="D54" s="22" t="n"/>
      <c r="E54" s="22" t="n"/>
      <c r="F54" s="22" t="n"/>
      <c r="G54" s="22" t="n"/>
      <c r="H54" s="22" t="n"/>
      <c r="I54" s="22" t="n"/>
      <c r="J54" s="22" t="n"/>
      <c r="K54" s="22" t="n"/>
      <c r="L54" s="22" t="n"/>
    </row>
    <row r="55">
      <c r="A55" s="22" t="n"/>
      <c r="B55" s="22" t="n"/>
      <c r="C55" s="22" t="n"/>
      <c r="D55" s="22" t="n"/>
      <c r="E55" s="22" t="n"/>
      <c r="F55" s="22" t="n"/>
      <c r="G55" s="22" t="n"/>
      <c r="H55" s="22" t="n"/>
      <c r="I55" s="22" t="n"/>
      <c r="J55" s="22" t="n"/>
      <c r="K55" s="22" t="n"/>
      <c r="L55" s="22" t="n"/>
    </row>
    <row r="56">
      <c r="A56" s="22" t="n"/>
      <c r="B56" s="22" t="n"/>
      <c r="C56" s="22" t="n"/>
      <c r="D56" s="22" t="n"/>
      <c r="E56" s="22" t="n"/>
      <c r="F56" s="22" t="n"/>
      <c r="G56" s="22" t="n"/>
      <c r="H56" s="22" t="n"/>
      <c r="I56" s="22" t="n"/>
      <c r="J56" s="22" t="n"/>
      <c r="K56" s="22" t="n"/>
      <c r="L56" s="22" t="n"/>
    </row>
    <row r="57">
      <c r="A57" s="22" t="n"/>
      <c r="B57" s="22" t="n"/>
      <c r="C57" s="22" t="n"/>
      <c r="D57" s="22" t="n"/>
      <c r="E57" s="22" t="n"/>
      <c r="F57" s="22" t="n"/>
      <c r="G57" s="22" t="n"/>
      <c r="H57" s="22" t="n"/>
      <c r="I57" s="22" t="n"/>
      <c r="J57" s="22" t="n"/>
      <c r="K57" s="22" t="n"/>
      <c r="L57" s="22" t="n"/>
    </row>
    <row r="58">
      <c r="A58" s="22" t="n"/>
      <c r="B58" s="22" t="n"/>
      <c r="C58" s="22" t="n"/>
      <c r="D58" s="22" t="n"/>
      <c r="E58" s="22" t="n"/>
      <c r="F58" s="22" t="n"/>
      <c r="G58" s="22" t="n"/>
      <c r="H58" s="22" t="n"/>
      <c r="I58" s="22" t="n"/>
      <c r="J58" s="22" t="n"/>
      <c r="K58" s="22" t="n"/>
      <c r="L58" s="22" t="n"/>
    </row>
    <row r="59">
      <c r="A59" s="22" t="n"/>
      <c r="B59" s="22" t="n"/>
      <c r="C59" s="22" t="n"/>
      <c r="D59" s="22" t="n"/>
      <c r="E59" s="22" t="n"/>
      <c r="F59" s="22" t="n"/>
      <c r="G59" s="22" t="n"/>
      <c r="H59" s="22" t="n"/>
      <c r="I59" s="22" t="n"/>
      <c r="J59" s="22" t="n"/>
      <c r="K59" s="22" t="n"/>
      <c r="L59" s="22" t="n"/>
    </row>
    <row r="60">
      <c r="A60" s="22" t="n"/>
      <c r="B60" s="22" t="n"/>
      <c r="C60" s="22" t="n"/>
      <c r="D60" s="22" t="n"/>
      <c r="E60" s="22" t="n"/>
      <c r="F60" s="22" t="n"/>
      <c r="G60" s="22" t="n"/>
      <c r="H60" s="22" t="n"/>
      <c r="I60" s="22" t="n"/>
      <c r="J60" s="22" t="n"/>
      <c r="K60" s="22" t="n"/>
      <c r="L60" s="22" t="n"/>
    </row>
    <row r="61">
      <c r="A61" s="22" t="n"/>
      <c r="B61" s="22" t="n"/>
      <c r="C61" s="22" t="n"/>
      <c r="D61" s="22" t="n"/>
      <c r="E61" s="22" t="n"/>
      <c r="F61" s="22" t="n"/>
      <c r="G61" s="22" t="n"/>
      <c r="H61" s="22" t="n"/>
      <c r="I61" s="22" t="n"/>
      <c r="J61" s="22" t="n"/>
      <c r="K61" s="22" t="n"/>
      <c r="L61" s="22" t="n"/>
    </row>
    <row r="62">
      <c r="A62" s="22" t="n"/>
      <c r="B62" s="22" t="n"/>
      <c r="C62" s="22" t="n"/>
      <c r="D62" s="22" t="n"/>
      <c r="E62" s="22" t="n"/>
      <c r="F62" s="22" t="n"/>
      <c r="G62" s="22" t="n"/>
      <c r="H62" s="22" t="n"/>
      <c r="I62" s="22" t="n"/>
      <c r="J62" s="22" t="n"/>
      <c r="K62" s="22" t="n"/>
      <c r="L62" s="22" t="n"/>
    </row>
    <row r="63">
      <c r="A63" s="22" t="n"/>
      <c r="B63" s="22" t="n"/>
      <c r="C63" s="22" t="n"/>
      <c r="D63" s="22" t="n"/>
      <c r="E63" s="22" t="n"/>
      <c r="F63" s="22" t="n"/>
      <c r="G63" s="22" t="n"/>
      <c r="H63" s="22" t="n"/>
      <c r="I63" s="22" t="n"/>
      <c r="J63" s="22" t="n"/>
      <c r="K63" s="22" t="n"/>
      <c r="L63" s="22" t="n"/>
    </row>
    <row r="64">
      <c r="A64" s="22" t="n"/>
      <c r="B64" s="22" t="n"/>
      <c r="C64" s="22" t="n"/>
      <c r="D64" s="22" t="n"/>
      <c r="E64" s="22" t="n"/>
      <c r="F64" s="22" t="n"/>
      <c r="G64" s="22" t="n"/>
      <c r="H64" s="22" t="n"/>
      <c r="I64" s="22" t="n"/>
      <c r="J64" s="22" t="n"/>
      <c r="K64" s="22" t="n"/>
      <c r="L64" s="22" t="n"/>
    </row>
    <row r="65">
      <c r="A65" s="22" t="n"/>
      <c r="B65" s="22" t="n"/>
      <c r="C65" s="22" t="n"/>
      <c r="D65" s="22" t="n"/>
      <c r="E65" s="22" t="n"/>
      <c r="F65" s="22" t="n"/>
      <c r="G65" s="22" t="n"/>
      <c r="H65" s="22" t="n"/>
      <c r="I65" s="22" t="n"/>
      <c r="J65" s="22" t="n"/>
      <c r="K65" s="22" t="n"/>
      <c r="L65" s="22" t="n"/>
    </row>
  </sheetData>
  <mergeCells count="2">
    <mergeCell ref="A2:L2"/>
    <mergeCell ref="A1:L1"/>
  </mergeCells>
  <dataValidations count="3">
    <dataValidation sqref="B4:B65" showDropDown="0" showInputMessage="0" showErrorMessage="0" allowBlank="1" type="list">
      <formula1>"시크 진정 토너,진정 밸런스 앰플,진정 수분 젤,딥 클렌징 오일 (닦아내기),워시오프 클렌징 오일,밸런스 진정 로션,시크 진정 밸런스 크림 (히어로)"</formula1>
    </dataValidation>
    <dataValidation sqref="F4:F65" showDropDown="0" showInputMessage="0" showErrorMessage="0" allowBlank="1" type="list">
      <formula1>"ok,실패"</formula1>
    </dataValidation>
    <dataValidation sqref="K4:K65" showDropDown="0" showInputMessage="0" showErrorMessage="0" allowBlank="1" type="list">
      <formula1>"keeper,튜닝,접기"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9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5" customWidth="1" min="3" max="3"/>
    <col width="9" customWidth="1" min="4" max="4"/>
    <col width="12" customWidth="1" min="5" max="5"/>
    <col width="10" customWidth="1" min="6" max="6"/>
  </cols>
  <sheetData>
    <row r="1" ht="30" customHeight="1">
      <c r="A1" s="1" t="inlineStr">
        <is>
          <t>처방 — 레시피 %의 표(재고 연계 엔진)</t>
        </is>
      </c>
    </row>
    <row r="2" ht="72" customHeight="1">
      <c r="A2" s="21" t="inlineStr">
        <is>
          <t>레시피의 %를 표로 편 '재고 연계 엔진'. 보통은 안 봐도 된다(레시피는 '레시피' 시트에서 봄) — 재고 자동 차감을 위해 존재한다.   ┃ 컬럼: 제품=제품명 · 원료=한글명 · 상=단계 · 퍼센트=배합% · 제조누계g=개발일지에서 이 제품을 만든 배치량 합(자동) · 사용g=퍼센트×제조누계(원료 시트가 이 값을 빼감)</t>
        </is>
      </c>
    </row>
    <row r="3">
      <c r="A3" s="10" t="inlineStr">
        <is>
          <t>제품</t>
        </is>
      </c>
      <c r="B3" s="10" t="inlineStr">
        <is>
          <t>원료</t>
        </is>
      </c>
      <c r="C3" s="10" t="inlineStr">
        <is>
          <t>상</t>
        </is>
      </c>
      <c r="D3" s="10" t="inlineStr">
        <is>
          <t>퍼센트</t>
        </is>
      </c>
      <c r="E3" s="10" t="inlineStr">
        <is>
          <t>제조누계g</t>
        </is>
      </c>
      <c r="F3" s="10" t="inlineStr">
        <is>
          <t>사용g</t>
        </is>
      </c>
    </row>
    <row r="4">
      <c r="A4" s="11" t="inlineStr">
        <is>
          <t>시크 진정 토너</t>
        </is>
      </c>
      <c r="B4" s="11" t="inlineStr">
        <is>
          <t>정제수</t>
        </is>
      </c>
      <c r="C4" s="13" t="inlineStr">
        <is>
          <t>A</t>
        </is>
      </c>
      <c r="D4" s="14" t="n">
        <v>83.5</v>
      </c>
      <c r="E4" s="14">
        <f>SUMIF(개발일지표[제품],[@제품],개발일지표[배치량g])</f>
        <v/>
      </c>
      <c r="F4" s="14">
        <f>[@퍼센트]/100*[@제조누계g]</f>
        <v/>
      </c>
    </row>
    <row r="5">
      <c r="A5" s="11" t="inlineStr">
        <is>
          <t>시크 진정 토너</t>
        </is>
      </c>
      <c r="B5" s="11" t="inlineStr">
        <is>
          <t>글리세린</t>
        </is>
      </c>
      <c r="C5" s="13" t="inlineStr">
        <is>
          <t>A</t>
        </is>
      </c>
      <c r="D5" s="14" t="n">
        <v>4</v>
      </c>
      <c r="E5" s="14">
        <f>SUMIF(개발일지표[제품],[@제품],개발일지표[배치량g])</f>
        <v/>
      </c>
      <c r="F5" s="14">
        <f>[@퍼센트]/100*[@제조누계g]</f>
        <v/>
      </c>
    </row>
    <row r="6">
      <c r="A6" s="11" t="inlineStr">
        <is>
          <t>시크 진정 토너</t>
        </is>
      </c>
      <c r="B6" s="11" t="inlineStr">
        <is>
          <t>프로판디올</t>
        </is>
      </c>
      <c r="C6" s="13" t="inlineStr">
        <is>
          <t>A</t>
        </is>
      </c>
      <c r="D6" s="14" t="n">
        <v>3</v>
      </c>
      <c r="E6" s="14">
        <f>SUMIF(개발일지표[제품],[@제품],개발일지표[배치량g])</f>
        <v/>
      </c>
      <c r="F6" s="14">
        <f>[@퍼센트]/100*[@제조누계g]</f>
        <v/>
      </c>
    </row>
    <row r="7">
      <c r="A7" s="11" t="inlineStr">
        <is>
          <t>시크 진정 토너</t>
        </is>
      </c>
      <c r="B7" s="11" t="inlineStr">
        <is>
          <t>나이아신아마이드</t>
        </is>
      </c>
      <c r="C7" s="13" t="inlineStr">
        <is>
          <t>A</t>
        </is>
      </c>
      <c r="D7" s="14" t="n">
        <v>2</v>
      </c>
      <c r="E7" s="14">
        <f>SUMIF(개발일지표[제품],[@제품],개발일지표[배치량g])</f>
        <v/>
      </c>
      <c r="F7" s="14">
        <f>[@퍼센트]/100*[@제조누계g]</f>
        <v/>
      </c>
    </row>
    <row r="8">
      <c r="A8" s="11" t="inlineStr">
        <is>
          <t>시크 진정 토너</t>
        </is>
      </c>
      <c r="B8" s="11" t="inlineStr">
        <is>
          <t>알란토인</t>
        </is>
      </c>
      <c r="C8" s="13" t="inlineStr">
        <is>
          <t>A</t>
        </is>
      </c>
      <c r="D8" s="14" t="n">
        <v>0.3</v>
      </c>
      <c r="E8" s="14">
        <f>SUMIF(개발일지표[제품],[@제품],개발일지표[배치량g])</f>
        <v/>
      </c>
      <c r="F8" s="14">
        <f>[@퍼센트]/100*[@제조누계g]</f>
        <v/>
      </c>
    </row>
    <row r="9">
      <c r="A9" s="11" t="inlineStr">
        <is>
          <t>시크 진정 토너</t>
        </is>
      </c>
      <c r="B9" s="11" t="inlineStr">
        <is>
          <t>베타글루칸</t>
        </is>
      </c>
      <c r="C9" s="13" t="inlineStr">
        <is>
          <t>A</t>
        </is>
      </c>
      <c r="D9" s="14" t="n">
        <v>1</v>
      </c>
      <c r="E9" s="14">
        <f>SUMIF(개발일지표[제품],[@제품],개발일지표[배치량g])</f>
        <v/>
      </c>
      <c r="F9" s="14">
        <f>[@퍼센트]/100*[@제조누계g]</f>
        <v/>
      </c>
    </row>
    <row r="10">
      <c r="A10" s="11" t="inlineStr">
        <is>
          <t>시크 진정 토너</t>
        </is>
      </c>
      <c r="B10" s="11" t="inlineStr">
        <is>
          <t>다중 히알루론산</t>
        </is>
      </c>
      <c r="C10" s="13" t="inlineStr">
        <is>
          <t>A</t>
        </is>
      </c>
      <c r="D10" s="14" t="n">
        <v>0.5</v>
      </c>
      <c r="E10" s="14">
        <f>SUMIF(개발일지표[제품],[@제품],개발일지표[배치량g])</f>
        <v/>
      </c>
      <c r="F10" s="14">
        <f>[@퍼센트]/100*[@제조누계g]</f>
        <v/>
      </c>
    </row>
    <row r="11">
      <c r="A11" s="11" t="inlineStr">
        <is>
          <t>시크 진정 토너</t>
        </is>
      </c>
      <c r="B11" s="11" t="inlineStr">
        <is>
          <t>판테놀(B5)</t>
        </is>
      </c>
      <c r="C11" s="15" t="inlineStr">
        <is>
          <t>C</t>
        </is>
      </c>
      <c r="D11" s="14" t="n">
        <v>1</v>
      </c>
      <c r="E11" s="14">
        <f>SUMIF(개발일지표[제품],[@제품],개발일지표[배치량g])</f>
        <v/>
      </c>
      <c r="F11" s="14">
        <f>[@퍼센트]/100*[@제조누계g]</f>
        <v/>
      </c>
    </row>
    <row r="12">
      <c r="A12" s="11" t="inlineStr">
        <is>
          <t>시크 진정 토너</t>
        </is>
      </c>
      <c r="B12" s="11" t="inlineStr">
        <is>
          <t>녹차추출물</t>
        </is>
      </c>
      <c r="C12" s="15" t="inlineStr">
        <is>
          <t>C</t>
        </is>
      </c>
      <c r="D12" s="14" t="n">
        <v>2</v>
      </c>
      <c r="E12" s="14">
        <f>SUMIF(개발일지표[제품],[@제품],개발일지표[배치량g])</f>
        <v/>
      </c>
      <c r="F12" s="14">
        <f>[@퍼센트]/100*[@제조누계g]</f>
        <v/>
      </c>
    </row>
    <row r="13">
      <c r="A13" s="11" t="inlineStr">
        <is>
          <t>시크 진정 토너</t>
        </is>
      </c>
      <c r="B13" s="11" t="inlineStr">
        <is>
          <t>마데카소사이드</t>
        </is>
      </c>
      <c r="C13" s="15" t="inlineStr">
        <is>
          <t>C</t>
        </is>
      </c>
      <c r="D13" s="14" t="n">
        <v>1</v>
      </c>
      <c r="E13" s="14">
        <f>SUMIF(개발일지표[제품],[@제품],개발일지표[배치량g])</f>
        <v/>
      </c>
      <c r="F13" s="14">
        <f>[@퍼센트]/100*[@제조누계g]</f>
        <v/>
      </c>
    </row>
    <row r="14">
      <c r="A14" s="11" t="inlineStr">
        <is>
          <t>시크 진정 토너</t>
        </is>
      </c>
      <c r="B14" s="11" t="inlineStr">
        <is>
          <t>페녹시에탄올</t>
        </is>
      </c>
      <c r="C14" s="15" t="inlineStr">
        <is>
          <t>C</t>
        </is>
      </c>
      <c r="D14" s="14" t="n">
        <v>0.5</v>
      </c>
      <c r="E14" s="14">
        <f>SUMIF(개발일지표[제품],[@제품],개발일지표[배치량g])</f>
        <v/>
      </c>
      <c r="F14" s="14">
        <f>[@퍼센트]/100*[@제조누계g]</f>
        <v/>
      </c>
    </row>
    <row r="15">
      <c r="A15" s="11" t="inlineStr">
        <is>
          <t>시크 진정 토너</t>
        </is>
      </c>
      <c r="B15" s="11" t="inlineStr">
        <is>
          <t>1,2-헥산다이올</t>
        </is>
      </c>
      <c r="C15" s="15" t="inlineStr">
        <is>
          <t>C</t>
        </is>
      </c>
      <c r="D15" s="14" t="n">
        <v>1</v>
      </c>
      <c r="E15" s="14">
        <f>SUMIF(개발일지표[제품],[@제품],개발일지표[배치량g])</f>
        <v/>
      </c>
      <c r="F15" s="14">
        <f>[@퍼센트]/100*[@제조누계g]</f>
        <v/>
      </c>
    </row>
    <row r="16">
      <c r="A16" s="11" t="inlineStr">
        <is>
          <t>시크 진정 토너</t>
        </is>
      </c>
      <c r="B16" s="11" t="inlineStr">
        <is>
          <t>구연산</t>
        </is>
      </c>
      <c r="C16" s="16" t="inlineStr">
        <is>
          <t>pH</t>
        </is>
      </c>
      <c r="D16" s="14" t="n">
        <v>0.2</v>
      </c>
      <c r="E16" s="14">
        <f>SUMIF(개발일지표[제품],[@제품],개발일지표[배치량g])</f>
        <v/>
      </c>
      <c r="F16" s="14">
        <f>[@퍼센트]/100*[@제조누계g]</f>
        <v/>
      </c>
    </row>
    <row r="17">
      <c r="A17" s="11" t="inlineStr">
        <is>
          <t>진정 밸런스 앰플</t>
        </is>
      </c>
      <c r="B17" s="11" t="inlineStr">
        <is>
          <t>정제수</t>
        </is>
      </c>
      <c r="C17" s="13" t="inlineStr">
        <is>
          <t>A</t>
        </is>
      </c>
      <c r="D17" s="14" t="n">
        <v>78.8</v>
      </c>
      <c r="E17" s="14">
        <f>SUMIF(개발일지표[제품],[@제품],개발일지표[배치량g])</f>
        <v/>
      </c>
      <c r="F17" s="14">
        <f>[@퍼센트]/100*[@제조누계g]</f>
        <v/>
      </c>
    </row>
    <row r="18">
      <c r="A18" s="11" t="inlineStr">
        <is>
          <t>진정 밸런스 앰플</t>
        </is>
      </c>
      <c r="B18" s="11" t="inlineStr">
        <is>
          <t>글리세린</t>
        </is>
      </c>
      <c r="C18" s="13" t="inlineStr">
        <is>
          <t>A</t>
        </is>
      </c>
      <c r="D18" s="14" t="n">
        <v>4</v>
      </c>
      <c r="E18" s="14">
        <f>SUMIF(개발일지표[제품],[@제품],개발일지표[배치량g])</f>
        <v/>
      </c>
      <c r="F18" s="14">
        <f>[@퍼센트]/100*[@제조누계g]</f>
        <v/>
      </c>
    </row>
    <row r="19">
      <c r="A19" s="11" t="inlineStr">
        <is>
          <t>진정 밸런스 앰플</t>
        </is>
      </c>
      <c r="B19" s="11" t="inlineStr">
        <is>
          <t>프로판디올</t>
        </is>
      </c>
      <c r="C19" s="13" t="inlineStr">
        <is>
          <t>A</t>
        </is>
      </c>
      <c r="D19" s="14" t="n">
        <v>3</v>
      </c>
      <c r="E19" s="14">
        <f>SUMIF(개발일지표[제품],[@제품],개발일지표[배치량g])</f>
        <v/>
      </c>
      <c r="F19" s="14">
        <f>[@퍼센트]/100*[@제조누계g]</f>
        <v/>
      </c>
    </row>
    <row r="20">
      <c r="A20" s="11" t="inlineStr">
        <is>
          <t>진정 밸런스 앰플</t>
        </is>
      </c>
      <c r="B20" s="11" t="inlineStr">
        <is>
          <t>나이아신아마이드</t>
        </is>
      </c>
      <c r="C20" s="13" t="inlineStr">
        <is>
          <t>A</t>
        </is>
      </c>
      <c r="D20" s="14" t="n">
        <v>4</v>
      </c>
      <c r="E20" s="14">
        <f>SUMIF(개발일지표[제품],[@제품],개발일지표[배치량g])</f>
        <v/>
      </c>
      <c r="F20" s="14">
        <f>[@퍼센트]/100*[@제조누계g]</f>
        <v/>
      </c>
    </row>
    <row r="21">
      <c r="A21" s="11" t="inlineStr">
        <is>
          <t>진정 밸런스 앰플</t>
        </is>
      </c>
      <c r="B21" s="11" t="inlineStr">
        <is>
          <t>아연피카</t>
        </is>
      </c>
      <c r="C21" s="13" t="inlineStr">
        <is>
          <t>A</t>
        </is>
      </c>
      <c r="D21" s="14" t="n">
        <v>1</v>
      </c>
      <c r="E21" s="14">
        <f>SUMIF(개발일지표[제품],[@제품],개발일지표[배치량g])</f>
        <v/>
      </c>
      <c r="F21" s="14">
        <f>[@퍼센트]/100*[@제조누계g]</f>
        <v/>
      </c>
    </row>
    <row r="22">
      <c r="A22" s="11" t="inlineStr">
        <is>
          <t>진정 밸런스 앰플</t>
        </is>
      </c>
      <c r="B22" s="11" t="inlineStr">
        <is>
          <t>알란토인</t>
        </is>
      </c>
      <c r="C22" s="13" t="inlineStr">
        <is>
          <t>A</t>
        </is>
      </c>
      <c r="D22" s="14" t="n">
        <v>0.3</v>
      </c>
      <c r="E22" s="14">
        <f>SUMIF(개발일지표[제품],[@제품],개발일지표[배치량g])</f>
        <v/>
      </c>
      <c r="F22" s="14">
        <f>[@퍼센트]/100*[@제조누계g]</f>
        <v/>
      </c>
    </row>
    <row r="23">
      <c r="A23" s="11" t="inlineStr">
        <is>
          <t>진정 밸런스 앰플</t>
        </is>
      </c>
      <c r="B23" s="11" t="inlineStr">
        <is>
          <t>베타글루칸</t>
        </is>
      </c>
      <c r="C23" s="13" t="inlineStr">
        <is>
          <t>A</t>
        </is>
      </c>
      <c r="D23" s="14" t="n">
        <v>2</v>
      </c>
      <c r="E23" s="14">
        <f>SUMIF(개발일지표[제품],[@제품],개발일지표[배치량g])</f>
        <v/>
      </c>
      <c r="F23" s="14">
        <f>[@퍼센트]/100*[@제조누계g]</f>
        <v/>
      </c>
    </row>
    <row r="24">
      <c r="A24" s="11" t="inlineStr">
        <is>
          <t>진정 밸런스 앰플</t>
        </is>
      </c>
      <c r="B24" s="11" t="inlineStr">
        <is>
          <t>다중 히알루론산</t>
        </is>
      </c>
      <c r="C24" s="13" t="inlineStr">
        <is>
          <t>A</t>
        </is>
      </c>
      <c r="D24" s="14" t="n">
        <v>1</v>
      </c>
      <c r="E24" s="14">
        <f>SUMIF(개발일지표[제품],[@제품],개발일지표[배치량g])</f>
        <v/>
      </c>
      <c r="F24" s="14">
        <f>[@퍼센트]/100*[@제조누계g]</f>
        <v/>
      </c>
    </row>
    <row r="25">
      <c r="A25" s="11" t="inlineStr">
        <is>
          <t>진정 밸런스 앰플</t>
        </is>
      </c>
      <c r="B25" s="11" t="inlineStr">
        <is>
          <t>잔탄검</t>
        </is>
      </c>
      <c r="C25" s="13" t="inlineStr">
        <is>
          <t>A</t>
        </is>
      </c>
      <c r="D25" s="14" t="n">
        <v>0.3</v>
      </c>
      <c r="E25" s="14">
        <f>SUMIF(개발일지표[제품],[@제품],개발일지표[배치량g])</f>
        <v/>
      </c>
      <c r="F25" s="14">
        <f>[@퍼센트]/100*[@제조누계g]</f>
        <v/>
      </c>
    </row>
    <row r="26">
      <c r="A26" s="11" t="inlineStr">
        <is>
          <t>진정 밸런스 앰플</t>
        </is>
      </c>
      <c r="B26" s="11" t="inlineStr">
        <is>
          <t>마데카소사이드</t>
        </is>
      </c>
      <c r="C26" s="15" t="inlineStr">
        <is>
          <t>C</t>
        </is>
      </c>
      <c r="D26" s="14" t="n">
        <v>1</v>
      </c>
      <c r="E26" s="14">
        <f>SUMIF(개발일지표[제품],[@제품],개발일지표[배치량g])</f>
        <v/>
      </c>
      <c r="F26" s="14">
        <f>[@퍼센트]/100*[@제조누계g]</f>
        <v/>
      </c>
    </row>
    <row r="27">
      <c r="A27" s="11" t="inlineStr">
        <is>
          <t>진정 밸런스 앰플</t>
        </is>
      </c>
      <c r="B27" s="11" t="inlineStr">
        <is>
          <t>판테놀(B5)</t>
        </is>
      </c>
      <c r="C27" s="15" t="inlineStr">
        <is>
          <t>C</t>
        </is>
      </c>
      <c r="D27" s="14" t="n">
        <v>1</v>
      </c>
      <c r="E27" s="14">
        <f>SUMIF(개발일지표[제품],[@제품],개발일지표[배치량g])</f>
        <v/>
      </c>
      <c r="F27" s="14">
        <f>[@퍼센트]/100*[@제조누계g]</f>
        <v/>
      </c>
    </row>
    <row r="28">
      <c r="A28" s="11" t="inlineStr">
        <is>
          <t>진정 밸런스 앰플</t>
        </is>
      </c>
      <c r="B28" s="11" t="inlineStr">
        <is>
          <t>녹차추출물</t>
        </is>
      </c>
      <c r="C28" s="15" t="inlineStr">
        <is>
          <t>C</t>
        </is>
      </c>
      <c r="D28" s="14" t="n">
        <v>2</v>
      </c>
      <c r="E28" s="14">
        <f>SUMIF(개발일지표[제품],[@제품],개발일지표[배치량g])</f>
        <v/>
      </c>
      <c r="F28" s="14">
        <f>[@퍼센트]/100*[@제조누계g]</f>
        <v/>
      </c>
    </row>
    <row r="29">
      <c r="A29" s="11" t="inlineStr">
        <is>
          <t>진정 밸런스 앰플</t>
        </is>
      </c>
      <c r="B29" s="11" t="inlineStr">
        <is>
          <t>페녹시에탄올</t>
        </is>
      </c>
      <c r="C29" s="15" t="inlineStr">
        <is>
          <t>C</t>
        </is>
      </c>
      <c r="D29" s="14" t="n">
        <v>0.5</v>
      </c>
      <c r="E29" s="14">
        <f>SUMIF(개발일지표[제품],[@제품],개발일지표[배치량g])</f>
        <v/>
      </c>
      <c r="F29" s="14">
        <f>[@퍼센트]/100*[@제조누계g]</f>
        <v/>
      </c>
    </row>
    <row r="30">
      <c r="A30" s="11" t="inlineStr">
        <is>
          <t>진정 밸런스 앰플</t>
        </is>
      </c>
      <c r="B30" s="11" t="inlineStr">
        <is>
          <t>1,2-헥산다이올</t>
        </is>
      </c>
      <c r="C30" s="15" t="inlineStr">
        <is>
          <t>C</t>
        </is>
      </c>
      <c r="D30" s="14" t="n">
        <v>1</v>
      </c>
      <c r="E30" s="14">
        <f>SUMIF(개발일지표[제품],[@제품],개발일지표[배치량g])</f>
        <v/>
      </c>
      <c r="F30" s="14">
        <f>[@퍼센트]/100*[@제조누계g]</f>
        <v/>
      </c>
    </row>
    <row r="31">
      <c r="A31" s="11" t="inlineStr">
        <is>
          <t>진정 밸런스 앰플</t>
        </is>
      </c>
      <c r="B31" s="11" t="inlineStr">
        <is>
          <t>구연산</t>
        </is>
      </c>
      <c r="C31" s="16" t="inlineStr">
        <is>
          <t>pH</t>
        </is>
      </c>
      <c r="D31" s="14" t="n">
        <v>0.1</v>
      </c>
      <c r="E31" s="14">
        <f>SUMIF(개발일지표[제품],[@제품],개발일지표[배치량g])</f>
        <v/>
      </c>
      <c r="F31" s="14">
        <f>[@퍼센트]/100*[@제조누계g]</f>
        <v/>
      </c>
    </row>
    <row r="32">
      <c r="A32" s="11" t="inlineStr">
        <is>
          <t>진정 수분 젤</t>
        </is>
      </c>
      <c r="B32" s="11" t="inlineStr">
        <is>
          <t>정제수</t>
        </is>
      </c>
      <c r="C32" s="13" t="inlineStr">
        <is>
          <t>A</t>
        </is>
      </c>
      <c r="D32" s="14" t="n">
        <v>84.90000000000001</v>
      </c>
      <c r="E32" s="14">
        <f>SUMIF(개발일지표[제품],[@제품],개발일지표[배치량g])</f>
        <v/>
      </c>
      <c r="F32" s="14">
        <f>[@퍼센트]/100*[@제조누계g]</f>
        <v/>
      </c>
    </row>
    <row r="33">
      <c r="A33" s="11" t="inlineStr">
        <is>
          <t>진정 수분 젤</t>
        </is>
      </c>
      <c r="B33" s="11" t="inlineStr">
        <is>
          <t>글리세린</t>
        </is>
      </c>
      <c r="C33" s="13" t="inlineStr">
        <is>
          <t>A</t>
        </is>
      </c>
      <c r="D33" s="14" t="n">
        <v>4</v>
      </c>
      <c r="E33" s="14">
        <f>SUMIF(개발일지표[제품],[@제품],개발일지표[배치량g])</f>
        <v/>
      </c>
      <c r="F33" s="14">
        <f>[@퍼센트]/100*[@제조누계g]</f>
        <v/>
      </c>
    </row>
    <row r="34">
      <c r="A34" s="11" t="inlineStr">
        <is>
          <t>진정 수분 젤</t>
        </is>
      </c>
      <c r="B34" s="11" t="inlineStr">
        <is>
          <t>프로판디올</t>
        </is>
      </c>
      <c r="C34" s="13" t="inlineStr">
        <is>
          <t>A</t>
        </is>
      </c>
      <c r="D34" s="14" t="n">
        <v>3</v>
      </c>
      <c r="E34" s="14">
        <f>SUMIF(개발일지표[제품],[@제품],개발일지표[배치량g])</f>
        <v/>
      </c>
      <c r="F34" s="14">
        <f>[@퍼센트]/100*[@제조누계g]</f>
        <v/>
      </c>
    </row>
    <row r="35">
      <c r="A35" s="11" t="inlineStr">
        <is>
          <t>진정 수분 젤</t>
        </is>
      </c>
      <c r="B35" s="11" t="inlineStr">
        <is>
          <t>잔탄검</t>
        </is>
      </c>
      <c r="C35" s="13" t="inlineStr">
        <is>
          <t>A</t>
        </is>
      </c>
      <c r="D35" s="14" t="n">
        <v>0.6</v>
      </c>
      <c r="E35" s="14">
        <f>SUMIF(개발일지표[제품],[@제품],개발일지표[배치량g])</f>
        <v/>
      </c>
      <c r="F35" s="14">
        <f>[@퍼센트]/100*[@제조누계g]</f>
        <v/>
      </c>
    </row>
    <row r="36">
      <c r="A36" s="11" t="inlineStr">
        <is>
          <t>진정 수분 젤</t>
        </is>
      </c>
      <c r="B36" s="11" t="inlineStr">
        <is>
          <t>나이아신아마이드</t>
        </is>
      </c>
      <c r="C36" s="13" t="inlineStr">
        <is>
          <t>A</t>
        </is>
      </c>
      <c r="D36" s="14" t="n">
        <v>2</v>
      </c>
      <c r="E36" s="14">
        <f>SUMIF(개발일지표[제품],[@제품],개발일지표[배치량g])</f>
        <v/>
      </c>
      <c r="F36" s="14">
        <f>[@퍼센트]/100*[@제조누계g]</f>
        <v/>
      </c>
    </row>
    <row r="37">
      <c r="A37" s="11" t="inlineStr">
        <is>
          <t>진정 수분 젤</t>
        </is>
      </c>
      <c r="B37" s="11" t="inlineStr">
        <is>
          <t>알란토인</t>
        </is>
      </c>
      <c r="C37" s="13" t="inlineStr">
        <is>
          <t>A</t>
        </is>
      </c>
      <c r="D37" s="14" t="n">
        <v>0.3</v>
      </c>
      <c r="E37" s="14">
        <f>SUMIF(개발일지표[제품],[@제품],개발일지표[배치량g])</f>
        <v/>
      </c>
      <c r="F37" s="14">
        <f>[@퍼센트]/100*[@제조누계g]</f>
        <v/>
      </c>
    </row>
    <row r="38">
      <c r="A38" s="11" t="inlineStr">
        <is>
          <t>진정 수분 젤</t>
        </is>
      </c>
      <c r="B38" s="11" t="inlineStr">
        <is>
          <t>베타글루칸</t>
        </is>
      </c>
      <c r="C38" s="13" t="inlineStr">
        <is>
          <t>A</t>
        </is>
      </c>
      <c r="D38" s="14" t="n">
        <v>1</v>
      </c>
      <c r="E38" s="14">
        <f>SUMIF(개발일지표[제품],[@제품],개발일지표[배치량g])</f>
        <v/>
      </c>
      <c r="F38" s="14">
        <f>[@퍼센트]/100*[@제조누계g]</f>
        <v/>
      </c>
    </row>
    <row r="39">
      <c r="A39" s="11" t="inlineStr">
        <is>
          <t>진정 수분 젤</t>
        </is>
      </c>
      <c r="B39" s="11" t="inlineStr">
        <is>
          <t>다중 히알루론산</t>
        </is>
      </c>
      <c r="C39" s="13" t="inlineStr">
        <is>
          <t>A</t>
        </is>
      </c>
      <c r="D39" s="14" t="n">
        <v>0.5</v>
      </c>
      <c r="E39" s="14">
        <f>SUMIF(개발일지표[제품],[@제품],개발일지표[배치량g])</f>
        <v/>
      </c>
      <c r="F39" s="14">
        <f>[@퍼센트]/100*[@제조누계g]</f>
        <v/>
      </c>
    </row>
    <row r="40">
      <c r="A40" s="11" t="inlineStr">
        <is>
          <t>진정 수분 젤</t>
        </is>
      </c>
      <c r="B40" s="11" t="inlineStr">
        <is>
          <t>마데카소사이드</t>
        </is>
      </c>
      <c r="C40" s="15" t="inlineStr">
        <is>
          <t>C</t>
        </is>
      </c>
      <c r="D40" s="14" t="n">
        <v>1</v>
      </c>
      <c r="E40" s="14">
        <f>SUMIF(개발일지표[제품],[@제품],개발일지표[배치량g])</f>
        <v/>
      </c>
      <c r="F40" s="14">
        <f>[@퍼센트]/100*[@제조누계g]</f>
        <v/>
      </c>
    </row>
    <row r="41">
      <c r="A41" s="11" t="inlineStr">
        <is>
          <t>진정 수분 젤</t>
        </is>
      </c>
      <c r="B41" s="11" t="inlineStr">
        <is>
          <t>판테놀(B5)</t>
        </is>
      </c>
      <c r="C41" s="15" t="inlineStr">
        <is>
          <t>C</t>
        </is>
      </c>
      <c r="D41" s="14" t="n">
        <v>1</v>
      </c>
      <c r="E41" s="14">
        <f>SUMIF(개발일지표[제품],[@제품],개발일지표[배치량g])</f>
        <v/>
      </c>
      <c r="F41" s="14">
        <f>[@퍼센트]/100*[@제조누계g]</f>
        <v/>
      </c>
    </row>
    <row r="42">
      <c r="A42" s="11" t="inlineStr">
        <is>
          <t>진정 수분 젤</t>
        </is>
      </c>
      <c r="B42" s="11" t="inlineStr">
        <is>
          <t>페녹시에탄올</t>
        </is>
      </c>
      <c r="C42" s="15" t="inlineStr">
        <is>
          <t>C</t>
        </is>
      </c>
      <c r="D42" s="14" t="n">
        <v>0.5</v>
      </c>
      <c r="E42" s="14">
        <f>SUMIF(개발일지표[제품],[@제품],개발일지표[배치량g])</f>
        <v/>
      </c>
      <c r="F42" s="14">
        <f>[@퍼센트]/100*[@제조누계g]</f>
        <v/>
      </c>
    </row>
    <row r="43">
      <c r="A43" s="11" t="inlineStr">
        <is>
          <t>진정 수분 젤</t>
        </is>
      </c>
      <c r="B43" s="11" t="inlineStr">
        <is>
          <t>1,2-헥산다이올</t>
        </is>
      </c>
      <c r="C43" s="15" t="inlineStr">
        <is>
          <t>C</t>
        </is>
      </c>
      <c r="D43" s="14" t="n">
        <v>1</v>
      </c>
      <c r="E43" s="14">
        <f>SUMIF(개발일지표[제품],[@제품],개발일지표[배치량g])</f>
        <v/>
      </c>
      <c r="F43" s="14">
        <f>[@퍼센트]/100*[@제조누계g]</f>
        <v/>
      </c>
    </row>
    <row r="44">
      <c r="A44" s="11" t="inlineStr">
        <is>
          <t>진정 수분 젤</t>
        </is>
      </c>
      <c r="B44" s="11" t="inlineStr">
        <is>
          <t>구연산</t>
        </is>
      </c>
      <c r="C44" s="16" t="inlineStr">
        <is>
          <t>pH</t>
        </is>
      </c>
      <c r="D44" s="14" t="n">
        <v>0.2</v>
      </c>
      <c r="E44" s="14">
        <f>SUMIF(개발일지표[제품],[@제품],개발일지표[배치량g])</f>
        <v/>
      </c>
      <c r="F44" s="14">
        <f>[@퍼센트]/100*[@제조누계g]</f>
        <v/>
      </c>
    </row>
    <row r="45">
      <c r="A45" s="11" t="inlineStr">
        <is>
          <t>딥 클렌징 오일 (닦아내기)</t>
        </is>
      </c>
      <c r="B45" s="11" t="inlineStr">
        <is>
          <t>MCT오일</t>
        </is>
      </c>
      <c r="C45" s="20" t="inlineStr">
        <is>
          <t>B</t>
        </is>
      </c>
      <c r="D45" s="14" t="n">
        <v>60</v>
      </c>
      <c r="E45" s="14">
        <f>SUMIF(개발일지표[제품],[@제품],개발일지표[배치량g])</f>
        <v/>
      </c>
      <c r="F45" s="14">
        <f>[@퍼센트]/100*[@제조누계g]</f>
        <v/>
      </c>
    </row>
    <row r="46">
      <c r="A46" s="11" t="inlineStr">
        <is>
          <t>딥 클렌징 오일 (닦아내기)</t>
        </is>
      </c>
      <c r="B46" s="11" t="inlineStr">
        <is>
          <t>스쿠알란</t>
        </is>
      </c>
      <c r="C46" s="20" t="inlineStr">
        <is>
          <t>B</t>
        </is>
      </c>
      <c r="D46" s="14" t="n">
        <v>25</v>
      </c>
      <c r="E46" s="14">
        <f>SUMIF(개발일지표[제품],[@제품],개발일지표[배치량g])</f>
        <v/>
      </c>
      <c r="F46" s="14">
        <f>[@퍼센트]/100*[@제조누계g]</f>
        <v/>
      </c>
    </row>
    <row r="47">
      <c r="A47" s="11" t="inlineStr">
        <is>
          <t>딥 클렌징 오일 (닦아내기)</t>
        </is>
      </c>
      <c r="B47" s="11" t="inlineStr">
        <is>
          <t>디메치콘</t>
        </is>
      </c>
      <c r="C47" s="20" t="inlineStr">
        <is>
          <t>B</t>
        </is>
      </c>
      <c r="D47" s="14" t="n">
        <v>14</v>
      </c>
      <c r="E47" s="14">
        <f>SUMIF(개발일지표[제품],[@제품],개발일지표[배치량g])</f>
        <v/>
      </c>
      <c r="F47" s="14">
        <f>[@퍼센트]/100*[@제조누계g]</f>
        <v/>
      </c>
    </row>
    <row r="48">
      <c r="A48" s="11" t="inlineStr">
        <is>
          <t>딥 클렌징 오일 (닦아내기)</t>
        </is>
      </c>
      <c r="B48" s="11" t="inlineStr">
        <is>
          <t>토코페롤(비타민E)</t>
        </is>
      </c>
      <c r="C48" s="20" t="inlineStr">
        <is>
          <t>B</t>
        </is>
      </c>
      <c r="D48" s="14" t="n">
        <v>1</v>
      </c>
      <c r="E48" s="14">
        <f>SUMIF(개발일지표[제품],[@제품],개발일지표[배치량g])</f>
        <v/>
      </c>
      <c r="F48" s="14">
        <f>[@퍼센트]/100*[@제조누계g]</f>
        <v/>
      </c>
    </row>
    <row r="49">
      <c r="A49" s="11" t="inlineStr">
        <is>
          <t>워시오프 클렌징 오일</t>
        </is>
      </c>
      <c r="B49" s="11" t="inlineStr">
        <is>
          <t>MCT오일</t>
        </is>
      </c>
      <c r="C49" s="20" t="inlineStr">
        <is>
          <t>B</t>
        </is>
      </c>
      <c r="D49" s="14" t="n">
        <v>54</v>
      </c>
      <c r="E49" s="14">
        <f>SUMIF(개발일지표[제품],[@제품],개발일지표[배치량g])</f>
        <v/>
      </c>
      <c r="F49" s="14">
        <f>[@퍼센트]/100*[@제조누계g]</f>
        <v/>
      </c>
    </row>
    <row r="50">
      <c r="A50" s="11" t="inlineStr">
        <is>
          <t>워시오프 클렌징 오일</t>
        </is>
      </c>
      <c r="B50" s="11" t="inlineStr">
        <is>
          <t>스쿠알란</t>
        </is>
      </c>
      <c r="C50" s="20" t="inlineStr">
        <is>
          <t>B</t>
        </is>
      </c>
      <c r="D50" s="14" t="n">
        <v>24</v>
      </c>
      <c r="E50" s="14">
        <f>SUMIF(개발일지표[제품],[@제품],개발일지표[배치량g])</f>
        <v/>
      </c>
      <c r="F50" s="14">
        <f>[@퍼센트]/100*[@제조누계g]</f>
        <v/>
      </c>
    </row>
    <row r="51">
      <c r="A51" s="11" t="inlineStr">
        <is>
          <t>워시오프 클렌징 오일</t>
        </is>
      </c>
      <c r="B51" s="11" t="inlineStr">
        <is>
          <t>폴리글리세릴-4 카프레이트</t>
        </is>
      </c>
      <c r="C51" s="20" t="inlineStr">
        <is>
          <t>B</t>
        </is>
      </c>
      <c r="D51" s="14" t="n">
        <v>18</v>
      </c>
      <c r="E51" s="14">
        <f>SUMIF(개발일지표[제품],[@제품],개발일지표[배치량g])</f>
        <v/>
      </c>
      <c r="F51" s="14">
        <f>[@퍼센트]/100*[@제조누계g]</f>
        <v/>
      </c>
    </row>
    <row r="52">
      <c r="A52" s="11" t="inlineStr">
        <is>
          <t>워시오프 클렌징 오일</t>
        </is>
      </c>
      <c r="B52" s="11" t="inlineStr">
        <is>
          <t>디메치콘</t>
        </is>
      </c>
      <c r="C52" s="20" t="inlineStr">
        <is>
          <t>B</t>
        </is>
      </c>
      <c r="D52" s="14" t="n">
        <v>3</v>
      </c>
      <c r="E52" s="14">
        <f>SUMIF(개발일지표[제품],[@제품],개발일지표[배치량g])</f>
        <v/>
      </c>
      <c r="F52" s="14">
        <f>[@퍼센트]/100*[@제조누계g]</f>
        <v/>
      </c>
    </row>
    <row r="53">
      <c r="A53" s="11" t="inlineStr">
        <is>
          <t>워시오프 클렌징 오일</t>
        </is>
      </c>
      <c r="B53" s="11" t="inlineStr">
        <is>
          <t>토코페롤(비타민E)</t>
        </is>
      </c>
      <c r="C53" s="20" t="inlineStr">
        <is>
          <t>B</t>
        </is>
      </c>
      <c r="D53" s="14" t="n">
        <v>1</v>
      </c>
      <c r="E53" s="14">
        <f>SUMIF(개발일지표[제품],[@제품],개발일지표[배치량g])</f>
        <v/>
      </c>
      <c r="F53" s="14">
        <f>[@퍼센트]/100*[@제조누계g]</f>
        <v/>
      </c>
    </row>
    <row r="54">
      <c r="A54" s="11" t="inlineStr">
        <is>
          <t>밸런스 진정 로션</t>
        </is>
      </c>
      <c r="B54" s="11" t="inlineStr">
        <is>
          <t>정제수</t>
        </is>
      </c>
      <c r="C54" s="13" t="inlineStr">
        <is>
          <t>A</t>
        </is>
      </c>
      <c r="D54" s="14" t="n">
        <v>71.8</v>
      </c>
      <c r="E54" s="14">
        <f>SUMIF(개발일지표[제품],[@제품],개발일지표[배치량g])</f>
        <v/>
      </c>
      <c r="F54" s="14">
        <f>[@퍼센트]/100*[@제조누계g]</f>
        <v/>
      </c>
    </row>
    <row r="55">
      <c r="A55" s="11" t="inlineStr">
        <is>
          <t>밸런스 진정 로션</t>
        </is>
      </c>
      <c r="B55" s="11" t="inlineStr">
        <is>
          <t>글리세린</t>
        </is>
      </c>
      <c r="C55" s="13" t="inlineStr">
        <is>
          <t>A</t>
        </is>
      </c>
      <c r="D55" s="14" t="n">
        <v>4</v>
      </c>
      <c r="E55" s="14">
        <f>SUMIF(개발일지표[제품],[@제품],개발일지표[배치량g])</f>
        <v/>
      </c>
      <c r="F55" s="14">
        <f>[@퍼센트]/100*[@제조누계g]</f>
        <v/>
      </c>
    </row>
    <row r="56">
      <c r="A56" s="11" t="inlineStr">
        <is>
          <t>밸런스 진정 로션</t>
        </is>
      </c>
      <c r="B56" s="11" t="inlineStr">
        <is>
          <t>프로판디올</t>
        </is>
      </c>
      <c r="C56" s="13" t="inlineStr">
        <is>
          <t>A</t>
        </is>
      </c>
      <c r="D56" s="14" t="n">
        <v>3</v>
      </c>
      <c r="E56" s="14">
        <f>SUMIF(개발일지표[제품],[@제품],개발일지표[배치량g])</f>
        <v/>
      </c>
      <c r="F56" s="14">
        <f>[@퍼센트]/100*[@제조누계g]</f>
        <v/>
      </c>
    </row>
    <row r="57">
      <c r="A57" s="11" t="inlineStr">
        <is>
          <t>밸런스 진정 로션</t>
        </is>
      </c>
      <c r="B57" s="11" t="inlineStr">
        <is>
          <t>나이아신아마이드</t>
        </is>
      </c>
      <c r="C57" s="13" t="inlineStr">
        <is>
          <t>A</t>
        </is>
      </c>
      <c r="D57" s="14" t="n">
        <v>2</v>
      </c>
      <c r="E57" s="14">
        <f>SUMIF(개발일지표[제품],[@제품],개발일지표[배치량g])</f>
        <v/>
      </c>
      <c r="F57" s="14">
        <f>[@퍼센트]/100*[@제조누계g]</f>
        <v/>
      </c>
    </row>
    <row r="58">
      <c r="A58" s="11" t="inlineStr">
        <is>
          <t>밸런스 진정 로션</t>
        </is>
      </c>
      <c r="B58" s="11" t="inlineStr">
        <is>
          <t>알란토인</t>
        </is>
      </c>
      <c r="C58" s="13" t="inlineStr">
        <is>
          <t>A</t>
        </is>
      </c>
      <c r="D58" s="14" t="n">
        <v>0.3</v>
      </c>
      <c r="E58" s="14">
        <f>SUMIF(개발일지표[제품],[@제품],개발일지표[배치량g])</f>
        <v/>
      </c>
      <c r="F58" s="14">
        <f>[@퍼센트]/100*[@제조누계g]</f>
        <v/>
      </c>
    </row>
    <row r="59">
      <c r="A59" s="11" t="inlineStr">
        <is>
          <t>밸런스 진정 로션</t>
        </is>
      </c>
      <c r="B59" s="11" t="inlineStr">
        <is>
          <t>베타글루칸</t>
        </is>
      </c>
      <c r="C59" s="13" t="inlineStr">
        <is>
          <t>A</t>
        </is>
      </c>
      <c r="D59" s="14" t="n">
        <v>1</v>
      </c>
      <c r="E59" s="14">
        <f>SUMIF(개발일지표[제품],[@제품],개발일지표[배치량g])</f>
        <v/>
      </c>
      <c r="F59" s="14">
        <f>[@퍼센트]/100*[@제조누계g]</f>
        <v/>
      </c>
    </row>
    <row r="60">
      <c r="A60" s="11" t="inlineStr">
        <is>
          <t>밸런스 진정 로션</t>
        </is>
      </c>
      <c r="B60" s="11" t="inlineStr">
        <is>
          <t>아연피카</t>
        </is>
      </c>
      <c r="C60" s="13" t="inlineStr">
        <is>
          <t>A</t>
        </is>
      </c>
      <c r="D60" s="14" t="n">
        <v>0.5</v>
      </c>
      <c r="E60" s="14">
        <f>SUMIF(개발일지표[제품],[@제품],개발일지표[배치량g])</f>
        <v/>
      </c>
      <c r="F60" s="14">
        <f>[@퍼센트]/100*[@제조누계g]</f>
        <v/>
      </c>
    </row>
    <row r="61">
      <c r="A61" s="11" t="inlineStr">
        <is>
          <t>밸런스 진정 로션</t>
        </is>
      </c>
      <c r="B61" s="11" t="inlineStr">
        <is>
          <t>다중 히알루론산</t>
        </is>
      </c>
      <c r="C61" s="13" t="inlineStr">
        <is>
          <t>A</t>
        </is>
      </c>
      <c r="D61" s="14" t="n">
        <v>0.5</v>
      </c>
      <c r="E61" s="14">
        <f>SUMIF(개발일지표[제품],[@제품],개발일지표[배치량g])</f>
        <v/>
      </c>
      <c r="F61" s="14">
        <f>[@퍼센트]/100*[@제조누계g]</f>
        <v/>
      </c>
    </row>
    <row r="62">
      <c r="A62" s="11" t="inlineStr">
        <is>
          <t>밸런스 진정 로션</t>
        </is>
      </c>
      <c r="B62" s="11" t="inlineStr">
        <is>
          <t>잔탄검</t>
        </is>
      </c>
      <c r="C62" s="13" t="inlineStr">
        <is>
          <t>A</t>
        </is>
      </c>
      <c r="D62" s="14" t="n">
        <v>0.2</v>
      </c>
      <c r="E62" s="14">
        <f>SUMIF(개발일지표[제품],[@제품],개발일지표[배치량g])</f>
        <v/>
      </c>
      <c r="F62" s="14">
        <f>[@퍼센트]/100*[@제조누계g]</f>
        <v/>
      </c>
    </row>
    <row r="63">
      <c r="A63" s="11" t="inlineStr">
        <is>
          <t>밸런스 진정 로션</t>
        </is>
      </c>
      <c r="B63" s="11" t="inlineStr">
        <is>
          <t>몬타노브68</t>
        </is>
      </c>
      <c r="C63" s="20" t="inlineStr">
        <is>
          <t>B</t>
        </is>
      </c>
      <c r="D63" s="14" t="n">
        <v>3</v>
      </c>
      <c r="E63" s="14">
        <f>SUMIF(개발일지표[제품],[@제품],개발일지표[배치량g])</f>
        <v/>
      </c>
      <c r="F63" s="14">
        <f>[@퍼센트]/100*[@제조누계g]</f>
        <v/>
      </c>
    </row>
    <row r="64">
      <c r="A64" s="11" t="inlineStr">
        <is>
          <t>밸런스 진정 로션</t>
        </is>
      </c>
      <c r="B64" s="11" t="inlineStr">
        <is>
          <t>세틸알코올</t>
        </is>
      </c>
      <c r="C64" s="20" t="inlineStr">
        <is>
          <t>B</t>
        </is>
      </c>
      <c r="D64" s="14" t="n">
        <v>1</v>
      </c>
      <c r="E64" s="14">
        <f>SUMIF(개발일지표[제품],[@제품],개발일지표[배치량g])</f>
        <v/>
      </c>
      <c r="F64" s="14">
        <f>[@퍼센트]/100*[@제조누계g]</f>
        <v/>
      </c>
    </row>
    <row r="65">
      <c r="A65" s="11" t="inlineStr">
        <is>
          <t>밸런스 진정 로션</t>
        </is>
      </c>
      <c r="B65" s="11" t="inlineStr">
        <is>
          <t>스쿠알란</t>
        </is>
      </c>
      <c r="C65" s="20" t="inlineStr">
        <is>
          <t>B</t>
        </is>
      </c>
      <c r="D65" s="14" t="n">
        <v>3</v>
      </c>
      <c r="E65" s="14">
        <f>SUMIF(개발일지표[제품],[@제품],개발일지표[배치량g])</f>
        <v/>
      </c>
      <c r="F65" s="14">
        <f>[@퍼센트]/100*[@제조누계g]</f>
        <v/>
      </c>
    </row>
    <row r="66">
      <c r="A66" s="11" t="inlineStr">
        <is>
          <t>밸런스 진정 로션</t>
        </is>
      </c>
      <c r="B66" s="11" t="inlineStr">
        <is>
          <t>MCT오일</t>
        </is>
      </c>
      <c r="C66" s="20" t="inlineStr">
        <is>
          <t>B</t>
        </is>
      </c>
      <c r="D66" s="14" t="n">
        <v>2</v>
      </c>
      <c r="E66" s="14">
        <f>SUMIF(개발일지표[제품],[@제품],개발일지표[배치량g])</f>
        <v/>
      </c>
      <c r="F66" s="14">
        <f>[@퍼센트]/100*[@제조누계g]</f>
        <v/>
      </c>
    </row>
    <row r="67">
      <c r="A67" s="11" t="inlineStr">
        <is>
          <t>밸런스 진정 로션</t>
        </is>
      </c>
      <c r="B67" s="11" t="inlineStr">
        <is>
          <t>디메치콘</t>
        </is>
      </c>
      <c r="C67" s="20" t="inlineStr">
        <is>
          <t>B</t>
        </is>
      </c>
      <c r="D67" s="14" t="n">
        <v>2</v>
      </c>
      <c r="E67" s="14">
        <f>SUMIF(개발일지표[제품],[@제품],개발일지표[배치량g])</f>
        <v/>
      </c>
      <c r="F67" s="14">
        <f>[@퍼센트]/100*[@제조누계g]</f>
        <v/>
      </c>
    </row>
    <row r="68">
      <c r="A68" s="11" t="inlineStr">
        <is>
          <t>밸런스 진정 로션</t>
        </is>
      </c>
      <c r="B68" s="11" t="inlineStr">
        <is>
          <t>마데카소사이드</t>
        </is>
      </c>
      <c r="C68" s="15" t="inlineStr">
        <is>
          <t>C</t>
        </is>
      </c>
      <c r="D68" s="14" t="n">
        <v>1</v>
      </c>
      <c r="E68" s="14">
        <f>SUMIF(개발일지표[제품],[@제품],개발일지표[배치량g])</f>
        <v/>
      </c>
      <c r="F68" s="14">
        <f>[@퍼센트]/100*[@제조누계g]</f>
        <v/>
      </c>
    </row>
    <row r="69">
      <c r="A69" s="11" t="inlineStr">
        <is>
          <t>밸런스 진정 로션</t>
        </is>
      </c>
      <c r="B69" s="11" t="inlineStr">
        <is>
          <t>판테놀(B5)</t>
        </is>
      </c>
      <c r="C69" s="15" t="inlineStr">
        <is>
          <t>C</t>
        </is>
      </c>
      <c r="D69" s="14" t="n">
        <v>1</v>
      </c>
      <c r="E69" s="14">
        <f>SUMIF(개발일지표[제품],[@제품],개발일지표[배치량g])</f>
        <v/>
      </c>
      <c r="F69" s="14">
        <f>[@퍼센트]/100*[@제조누계g]</f>
        <v/>
      </c>
    </row>
    <row r="70">
      <c r="A70" s="11" t="inlineStr">
        <is>
          <t>밸런스 진정 로션</t>
        </is>
      </c>
      <c r="B70" s="11" t="inlineStr">
        <is>
          <t>녹차추출물</t>
        </is>
      </c>
      <c r="C70" s="15" t="inlineStr">
        <is>
          <t>C</t>
        </is>
      </c>
      <c r="D70" s="14" t="n">
        <v>2</v>
      </c>
      <c r="E70" s="14">
        <f>SUMIF(개발일지표[제품],[@제품],개발일지표[배치량g])</f>
        <v/>
      </c>
      <c r="F70" s="14">
        <f>[@퍼센트]/100*[@제조누계g]</f>
        <v/>
      </c>
    </row>
    <row r="71">
      <c r="A71" s="11" t="inlineStr">
        <is>
          <t>밸런스 진정 로션</t>
        </is>
      </c>
      <c r="B71" s="11" t="inlineStr">
        <is>
          <t>페녹시에탄올</t>
        </is>
      </c>
      <c r="C71" s="15" t="inlineStr">
        <is>
          <t>C</t>
        </is>
      </c>
      <c r="D71" s="14" t="n">
        <v>0.5</v>
      </c>
      <c r="E71" s="14">
        <f>SUMIF(개발일지표[제품],[@제품],개발일지표[배치량g])</f>
        <v/>
      </c>
      <c r="F71" s="14">
        <f>[@퍼센트]/100*[@제조누계g]</f>
        <v/>
      </c>
    </row>
    <row r="72">
      <c r="A72" s="11" t="inlineStr">
        <is>
          <t>밸런스 진정 로션</t>
        </is>
      </c>
      <c r="B72" s="11" t="inlineStr">
        <is>
          <t>1,2-헥산다이올</t>
        </is>
      </c>
      <c r="C72" s="15" t="inlineStr">
        <is>
          <t>C</t>
        </is>
      </c>
      <c r="D72" s="14" t="n">
        <v>1</v>
      </c>
      <c r="E72" s="14">
        <f>SUMIF(개발일지표[제품],[@제품],개발일지표[배치량g])</f>
        <v/>
      </c>
      <c r="F72" s="14">
        <f>[@퍼센트]/100*[@제조누계g]</f>
        <v/>
      </c>
    </row>
    <row r="73">
      <c r="A73" s="11" t="inlineStr">
        <is>
          <t>밸런스 진정 로션</t>
        </is>
      </c>
      <c r="B73" s="11" t="inlineStr">
        <is>
          <t>구연산</t>
        </is>
      </c>
      <c r="C73" s="16" t="inlineStr">
        <is>
          <t>pH</t>
        </is>
      </c>
      <c r="D73" s="14" t="n">
        <v>0.2</v>
      </c>
      <c r="E73" s="14">
        <f>SUMIF(개발일지표[제품],[@제품],개발일지표[배치량g])</f>
        <v/>
      </c>
      <c r="F73" s="14">
        <f>[@퍼센트]/100*[@제조누계g]</f>
        <v/>
      </c>
    </row>
    <row r="74">
      <c r="A74" s="11" t="inlineStr">
        <is>
          <t>시크 진정 밸런스 크림 (히어로)</t>
        </is>
      </c>
      <c r="B74" s="11" t="inlineStr">
        <is>
          <t>정제수</t>
        </is>
      </c>
      <c r="C74" s="13" t="inlineStr">
        <is>
          <t>A</t>
        </is>
      </c>
      <c r="D74" s="14" t="n">
        <v>63.5</v>
      </c>
      <c r="E74" s="14">
        <f>SUMIF(개발일지표[제품],[@제품],개발일지표[배치량g])</f>
        <v/>
      </c>
      <c r="F74" s="14">
        <f>[@퍼센트]/100*[@제조누계g]</f>
        <v/>
      </c>
    </row>
    <row r="75">
      <c r="A75" s="11" t="inlineStr">
        <is>
          <t>시크 진정 밸런스 크림 (히어로)</t>
        </is>
      </c>
      <c r="B75" s="11" t="inlineStr">
        <is>
          <t>글리세린</t>
        </is>
      </c>
      <c r="C75" s="13" t="inlineStr">
        <is>
          <t>A</t>
        </is>
      </c>
      <c r="D75" s="14" t="n">
        <v>5</v>
      </c>
      <c r="E75" s="14">
        <f>SUMIF(개발일지표[제품],[@제품],개발일지표[배치량g])</f>
        <v/>
      </c>
      <c r="F75" s="14">
        <f>[@퍼센트]/100*[@제조누계g]</f>
        <v/>
      </c>
    </row>
    <row r="76">
      <c r="A76" s="11" t="inlineStr">
        <is>
          <t>시크 진정 밸런스 크림 (히어로)</t>
        </is>
      </c>
      <c r="B76" s="11" t="inlineStr">
        <is>
          <t>나이아신아마이드</t>
        </is>
      </c>
      <c r="C76" s="13" t="inlineStr">
        <is>
          <t>A</t>
        </is>
      </c>
      <c r="D76" s="14" t="n">
        <v>2</v>
      </c>
      <c r="E76" s="14">
        <f>SUMIF(개발일지표[제품],[@제품],개발일지표[배치량g])</f>
        <v/>
      </c>
      <c r="F76" s="14">
        <f>[@퍼센트]/100*[@제조누계g]</f>
        <v/>
      </c>
    </row>
    <row r="77">
      <c r="A77" s="11" t="inlineStr">
        <is>
          <t>시크 진정 밸런스 크림 (히어로)</t>
        </is>
      </c>
      <c r="B77" s="11" t="inlineStr">
        <is>
          <t>알란토인</t>
        </is>
      </c>
      <c r="C77" s="13" t="inlineStr">
        <is>
          <t>A</t>
        </is>
      </c>
      <c r="D77" s="14" t="n">
        <v>0.5</v>
      </c>
      <c r="E77" s="14">
        <f>SUMIF(개발일지표[제품],[@제품],개발일지표[배치량g])</f>
        <v/>
      </c>
      <c r="F77" s="14">
        <f>[@퍼센트]/100*[@제조누계g]</f>
        <v/>
      </c>
    </row>
    <row r="78">
      <c r="A78" s="11" t="inlineStr">
        <is>
          <t>시크 진정 밸런스 크림 (히어로)</t>
        </is>
      </c>
      <c r="B78" s="11" t="inlineStr">
        <is>
          <t>베타글루칸</t>
        </is>
      </c>
      <c r="C78" s="13" t="inlineStr">
        <is>
          <t>A</t>
        </is>
      </c>
      <c r="D78" s="14" t="n">
        <v>1</v>
      </c>
      <c r="E78" s="14">
        <f>SUMIF(개발일지표[제품],[@제품],개발일지표[배치량g])</f>
        <v/>
      </c>
      <c r="F78" s="14">
        <f>[@퍼센트]/100*[@제조누계g]</f>
        <v/>
      </c>
    </row>
    <row r="79">
      <c r="A79" s="11" t="inlineStr">
        <is>
          <t>시크 진정 밸런스 크림 (히어로)</t>
        </is>
      </c>
      <c r="B79" s="11" t="inlineStr">
        <is>
          <t>아연피카</t>
        </is>
      </c>
      <c r="C79" s="13" t="inlineStr">
        <is>
          <t>A</t>
        </is>
      </c>
      <c r="D79" s="14" t="n">
        <v>1</v>
      </c>
      <c r="E79" s="14">
        <f>SUMIF(개발일지표[제품],[@제품],개발일지표[배치량g])</f>
        <v/>
      </c>
      <c r="F79" s="14">
        <f>[@퍼센트]/100*[@제조누계g]</f>
        <v/>
      </c>
    </row>
    <row r="80">
      <c r="A80" s="11" t="inlineStr">
        <is>
          <t>시크 진정 밸런스 크림 (히어로)</t>
        </is>
      </c>
      <c r="B80" s="11" t="inlineStr">
        <is>
          <t>프로판디올</t>
        </is>
      </c>
      <c r="C80" s="13" t="inlineStr">
        <is>
          <t>A</t>
        </is>
      </c>
      <c r="D80" s="14" t="n">
        <v>3</v>
      </c>
      <c r="E80" s="14">
        <f>SUMIF(개발일지표[제품],[@제품],개발일지표[배치량g])</f>
        <v/>
      </c>
      <c r="F80" s="14">
        <f>[@퍼센트]/100*[@제조누계g]</f>
        <v/>
      </c>
    </row>
    <row r="81">
      <c r="A81" s="11" t="inlineStr">
        <is>
          <t>시크 진정 밸런스 크림 (히어로)</t>
        </is>
      </c>
      <c r="B81" s="11" t="inlineStr">
        <is>
          <t>잔탄검</t>
        </is>
      </c>
      <c r="C81" s="13" t="inlineStr">
        <is>
          <t>A</t>
        </is>
      </c>
      <c r="D81" s="14" t="n">
        <v>0.3</v>
      </c>
      <c r="E81" s="14">
        <f>SUMIF(개발일지표[제품],[@제품],개발일지표[배치량g])</f>
        <v/>
      </c>
      <c r="F81" s="14">
        <f>[@퍼센트]/100*[@제조누계g]</f>
        <v/>
      </c>
    </row>
    <row r="82">
      <c r="A82" s="11" t="inlineStr">
        <is>
          <t>시크 진정 밸런스 크림 (히어로)</t>
        </is>
      </c>
      <c r="B82" s="11" t="inlineStr">
        <is>
          <t>다중 히알루론산</t>
        </is>
      </c>
      <c r="C82" s="13" t="inlineStr">
        <is>
          <t>A</t>
        </is>
      </c>
      <c r="D82" s="14" t="n">
        <v>1</v>
      </c>
      <c r="E82" s="14">
        <f>SUMIF(개발일지표[제품],[@제품],개발일지표[배치량g])</f>
        <v/>
      </c>
      <c r="F82" s="14">
        <f>[@퍼센트]/100*[@제조누계g]</f>
        <v/>
      </c>
    </row>
    <row r="83">
      <c r="A83" s="11" t="inlineStr">
        <is>
          <t>시크 진정 밸런스 크림 (히어로)</t>
        </is>
      </c>
      <c r="B83" s="11" t="inlineStr">
        <is>
          <t>몬타노브68</t>
        </is>
      </c>
      <c r="C83" s="20" t="inlineStr">
        <is>
          <t>B</t>
        </is>
      </c>
      <c r="D83" s="14" t="n">
        <v>4</v>
      </c>
      <c r="E83" s="14">
        <f>SUMIF(개발일지표[제품],[@제품],개발일지표[배치량g])</f>
        <v/>
      </c>
      <c r="F83" s="14">
        <f>[@퍼센트]/100*[@제조누계g]</f>
        <v/>
      </c>
    </row>
    <row r="84">
      <c r="A84" s="11" t="inlineStr">
        <is>
          <t>시크 진정 밸런스 크림 (히어로)</t>
        </is>
      </c>
      <c r="B84" s="11" t="inlineStr">
        <is>
          <t>세틸알코올</t>
        </is>
      </c>
      <c r="C84" s="20" t="inlineStr">
        <is>
          <t>B</t>
        </is>
      </c>
      <c r="D84" s="14" t="n">
        <v>2</v>
      </c>
      <c r="E84" s="14">
        <f>SUMIF(개발일지표[제품],[@제품],개발일지표[배치량g])</f>
        <v/>
      </c>
      <c r="F84" s="14">
        <f>[@퍼센트]/100*[@제조누계g]</f>
        <v/>
      </c>
    </row>
    <row r="85">
      <c r="A85" s="11" t="inlineStr">
        <is>
          <t>시크 진정 밸런스 크림 (히어로)</t>
        </is>
      </c>
      <c r="B85" s="11" t="inlineStr">
        <is>
          <t>스쿠알란</t>
        </is>
      </c>
      <c r="C85" s="20" t="inlineStr">
        <is>
          <t>B</t>
        </is>
      </c>
      <c r="D85" s="14" t="n">
        <v>5</v>
      </c>
      <c r="E85" s="14">
        <f>SUMIF(개발일지표[제품],[@제품],개발일지표[배치량g])</f>
        <v/>
      </c>
      <c r="F85" s="14">
        <f>[@퍼센트]/100*[@제조누계g]</f>
        <v/>
      </c>
    </row>
    <row r="86">
      <c r="A86" s="11" t="inlineStr">
        <is>
          <t>시크 진정 밸런스 크림 (히어로)</t>
        </is>
      </c>
      <c r="B86" s="11" t="inlineStr">
        <is>
          <t>MCT오일</t>
        </is>
      </c>
      <c r="C86" s="20" t="inlineStr">
        <is>
          <t>B</t>
        </is>
      </c>
      <c r="D86" s="14" t="n">
        <v>3</v>
      </c>
      <c r="E86" s="14">
        <f>SUMIF(개발일지표[제품],[@제품],개발일지표[배치량g])</f>
        <v/>
      </c>
      <c r="F86" s="14">
        <f>[@퍼센트]/100*[@제조누계g]</f>
        <v/>
      </c>
    </row>
    <row r="87">
      <c r="A87" s="11" t="inlineStr">
        <is>
          <t>시크 진정 밸런스 크림 (히어로)</t>
        </is>
      </c>
      <c r="B87" s="11" t="inlineStr">
        <is>
          <t>디메치콘</t>
        </is>
      </c>
      <c r="C87" s="20" t="inlineStr">
        <is>
          <t>B</t>
        </is>
      </c>
      <c r="D87" s="14" t="n">
        <v>3</v>
      </c>
      <c r="E87" s="14">
        <f>SUMIF(개발일지표[제품],[@제품],개발일지표[배치량g])</f>
        <v/>
      </c>
      <c r="F87" s="14">
        <f>[@퍼센트]/100*[@제조누계g]</f>
        <v/>
      </c>
    </row>
    <row r="88">
      <c r="A88" s="11" t="inlineStr">
        <is>
          <t>시크 진정 밸런스 크림 (히어로)</t>
        </is>
      </c>
      <c r="B88" s="11" t="inlineStr">
        <is>
          <t>마데카소사이드</t>
        </is>
      </c>
      <c r="C88" s="15" t="inlineStr">
        <is>
          <t>C</t>
        </is>
      </c>
      <c r="D88" s="14" t="n">
        <v>1</v>
      </c>
      <c r="E88" s="14">
        <f>SUMIF(개발일지표[제품],[@제품],개발일지표[배치량g])</f>
        <v/>
      </c>
      <c r="F88" s="14">
        <f>[@퍼센트]/100*[@제조누계g]</f>
        <v/>
      </c>
    </row>
    <row r="89">
      <c r="A89" s="11" t="inlineStr">
        <is>
          <t>시크 진정 밸런스 크림 (히어로)</t>
        </is>
      </c>
      <c r="B89" s="11" t="inlineStr">
        <is>
          <t>판테놀(B5)</t>
        </is>
      </c>
      <c r="C89" s="15" t="inlineStr">
        <is>
          <t>C</t>
        </is>
      </c>
      <c r="D89" s="14" t="n">
        <v>1</v>
      </c>
      <c r="E89" s="14">
        <f>SUMIF(개발일지표[제품],[@제품],개발일지표[배치량g])</f>
        <v/>
      </c>
      <c r="F89" s="14">
        <f>[@퍼센트]/100*[@제조누계g]</f>
        <v/>
      </c>
    </row>
    <row r="90">
      <c r="A90" s="11" t="inlineStr">
        <is>
          <t>시크 진정 밸런스 크림 (히어로)</t>
        </is>
      </c>
      <c r="B90" s="11" t="inlineStr">
        <is>
          <t>녹차추출물</t>
        </is>
      </c>
      <c r="C90" s="15" t="inlineStr">
        <is>
          <t>C</t>
        </is>
      </c>
      <c r="D90" s="14" t="n">
        <v>2</v>
      </c>
      <c r="E90" s="14">
        <f>SUMIF(개발일지표[제품],[@제품],개발일지표[배치량g])</f>
        <v/>
      </c>
      <c r="F90" s="14">
        <f>[@퍼센트]/100*[@제조누계g]</f>
        <v/>
      </c>
    </row>
    <row r="91">
      <c r="A91" s="11" t="inlineStr">
        <is>
          <t>시크 진정 밸런스 크림 (히어로)</t>
        </is>
      </c>
      <c r="B91" s="11" t="inlineStr">
        <is>
          <t>페녹시에탄올</t>
        </is>
      </c>
      <c r="C91" s="15" t="inlineStr">
        <is>
          <t>C</t>
        </is>
      </c>
      <c r="D91" s="14" t="n">
        <v>0.7</v>
      </c>
      <c r="E91" s="14">
        <f>SUMIF(개발일지표[제품],[@제품],개발일지표[배치량g])</f>
        <v/>
      </c>
      <c r="F91" s="14">
        <f>[@퍼센트]/100*[@제조누계g]</f>
        <v/>
      </c>
    </row>
    <row r="92">
      <c r="A92" s="11" t="inlineStr">
        <is>
          <t>시크 진정 밸런스 크림 (히어로)</t>
        </is>
      </c>
      <c r="B92" s="11" t="inlineStr">
        <is>
          <t>1,2-헥산다이올</t>
        </is>
      </c>
      <c r="C92" s="15" t="inlineStr">
        <is>
          <t>C</t>
        </is>
      </c>
      <c r="D92" s="14" t="n">
        <v>1</v>
      </c>
      <c r="E92" s="14">
        <f>SUMIF(개발일지표[제품],[@제품],개발일지표[배치량g])</f>
        <v/>
      </c>
      <c r="F92" s="14">
        <f>[@퍼센트]/100*[@제조누계g]</f>
        <v/>
      </c>
    </row>
  </sheetData>
  <mergeCells count="2">
    <mergeCell ref="A2:F2"/>
    <mergeCell ref="A1:F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2026-10-13T17:32:27Z</dcterms:created>
  <dcterms:modified xsi:type="dcterms:W3CDTF">2026-10-13T17:32:27Z</dcterms:modified>
</cp:coreProperties>
</file>